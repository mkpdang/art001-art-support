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05-Sander\TankTerminals\Estimate-2026\Sprint8C\"/>
    </mc:Choice>
  </mc:AlternateContent>
  <xr:revisionPtr revIDLastSave="0" documentId="13_ncr:1_{DBB8A918-A7FA-463F-9013-C3B3F6258B06}" xr6:coauthVersionLast="47" xr6:coauthVersionMax="47" xr10:uidLastSave="{00000000-0000-0000-0000-000000000000}"/>
  <bookViews>
    <workbookView xWindow="28680" yWindow="1815" windowWidth="29040" windowHeight="15840" activeTab="3" xr2:uid="{00000000-000D-0000-FFFF-FFFF00000000}"/>
  </bookViews>
  <sheets>
    <sheet name="Commercial (Met meerwerk)" sheetId="19" r:id="rId1"/>
    <sheet name="Estimate" sheetId="1" r:id="rId2"/>
    <sheet name="CostOf Wok" sheetId="18" r:id="rId3"/>
    <sheet name="FunctionalitiesBreakdown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D24" i="19"/>
  <c r="F34" i="2"/>
  <c r="D17" i="19" l="1"/>
  <c r="D16" i="19"/>
  <c r="D8" i="19"/>
  <c r="D7" i="19"/>
  <c r="D6" i="19"/>
  <c r="E11" i="18" l="1"/>
  <c r="B5" i="18" l="1"/>
  <c r="B9" i="18"/>
  <c r="B4" i="18"/>
  <c r="B3" i="18"/>
  <c r="F18" i="19" l="1"/>
  <c r="C9" i="19" l="1"/>
  <c r="C2" i="18"/>
  <c r="B8" i="1"/>
  <c r="C15" i="19" l="1"/>
  <c r="F15" i="19" s="1"/>
  <c r="C14" i="19"/>
  <c r="F14" i="19" s="1"/>
  <c r="F9" i="19"/>
  <c r="C17" i="19"/>
  <c r="F17" i="19" s="1"/>
  <c r="C6" i="18"/>
  <c r="E6" i="18" s="1"/>
  <c r="C9" i="18"/>
  <c r="E9" i="18" s="1"/>
  <c r="C5" i="18"/>
  <c r="E5" i="18" s="1"/>
  <c r="C8" i="18"/>
  <c r="E8" i="18" s="1"/>
  <c r="C4" i="18"/>
  <c r="E4" i="18" s="1"/>
  <c r="C7" i="18"/>
  <c r="E7" i="18" s="1"/>
  <c r="C3" i="18"/>
  <c r="E3" i="18" s="1"/>
  <c r="C24" i="19"/>
  <c r="C16" i="19"/>
  <c r="F16" i="19" s="1"/>
  <c r="C8" i="19"/>
  <c r="F8" i="19" s="1"/>
  <c r="C7" i="19"/>
  <c r="F7" i="19" s="1"/>
  <c r="C6" i="19"/>
  <c r="F6" i="19" s="1"/>
  <c r="E2" i="18"/>
  <c r="B30" i="1"/>
  <c r="C11" i="19" l="1"/>
  <c r="C20" i="19"/>
  <c r="D18" i="19" s="1"/>
  <c r="F11" i="19"/>
  <c r="D11" i="19"/>
  <c r="F20" i="19"/>
  <c r="C10" i="18"/>
  <c r="E10" i="18"/>
  <c r="E12" i="18" s="1"/>
  <c r="H27" i="19" l="1"/>
  <c r="H29" i="19" s="1"/>
  <c r="K29" i="19" s="1"/>
  <c r="E11" i="19"/>
  <c r="E20" i="19"/>
  <c r="C22" i="19"/>
  <c r="D15" i="19"/>
  <c r="D20" i="19" s="1"/>
  <c r="F22" i="19"/>
  <c r="F24" i="19"/>
  <c r="C25" i="19" l="1"/>
  <c r="C26" i="19" s="1"/>
  <c r="C27" i="19" s="1"/>
  <c r="F25" i="19"/>
  <c r="F26" i="19" s="1"/>
  <c r="F27" i="19" s="1"/>
  <c r="H30" i="19" s="1"/>
  <c r="E27" i="19" l="1"/>
  <c r="I27" i="19"/>
  <c r="I30" i="19" l="1"/>
  <c r="J30" i="19" s="1"/>
  <c r="K30" i="19" s="1"/>
  <c r="F30" i="19"/>
  <c r="K31" i="19" l="1"/>
</calcChain>
</file>

<file path=xl/sharedStrings.xml><?xml version="1.0" encoding="utf-8"?>
<sst xmlns="http://schemas.openxmlformats.org/spreadsheetml/2006/main" count="158" uniqueCount="119">
  <si>
    <t>ESTIMATION SHEET</t>
  </si>
  <si>
    <t>Project:</t>
  </si>
  <si>
    <t>Updated date:</t>
  </si>
  <si>
    <t>Updated by:</t>
  </si>
  <si>
    <t>SUMMARY</t>
  </si>
  <si>
    <t>(Tentative schedule)</t>
  </si>
  <si>
    <t>PROJECT ACTIVITIES</t>
  </si>
  <si>
    <t>GANTT CHART (WEEK)</t>
  </si>
  <si>
    <t>Activity</t>
  </si>
  <si>
    <t>Ratio</t>
  </si>
  <si>
    <t>W1</t>
  </si>
  <si>
    <t>W2</t>
  </si>
  <si>
    <t>x</t>
  </si>
  <si>
    <t>UI/UX design</t>
  </si>
  <si>
    <t>Architecture &amp; detailed design</t>
  </si>
  <si>
    <t>Implementation</t>
  </si>
  <si>
    <t>Quality control</t>
  </si>
  <si>
    <t>Transition &amp; acceptance</t>
  </si>
  <si>
    <t>Project management</t>
  </si>
  <si>
    <t>TEAM STRUCTURE</t>
  </si>
  <si>
    <t>Role</t>
  </si>
  <si>
    <t>Count</t>
  </si>
  <si>
    <t>QA</t>
  </si>
  <si>
    <t>PM</t>
  </si>
  <si>
    <t>ASSUMPTIONS</t>
  </si>
  <si>
    <t>Phuc Le</t>
  </si>
  <si>
    <t>DEV React JS</t>
  </si>
  <si>
    <t>Devops</t>
  </si>
  <si>
    <t>Title</t>
  </si>
  <si>
    <t>Deployment environment Stage / Production</t>
  </si>
  <si>
    <t xml:space="preserve">Requirements analysis </t>
  </si>
  <si>
    <t>Rate</t>
  </si>
  <si>
    <t>Total</t>
  </si>
  <si>
    <t>No.</t>
  </si>
  <si>
    <t>Development hours</t>
  </si>
  <si>
    <t>Duration</t>
  </si>
  <si>
    <t>Backend dev (PHP)</t>
  </si>
  <si>
    <t>COMMERCIAL PRESENTATION</t>
  </si>
  <si>
    <t>Description</t>
  </si>
  <si>
    <t>Hrs</t>
  </si>
  <si>
    <t>Split</t>
  </si>
  <si>
    <t>Amount</t>
  </si>
  <si>
    <t>Design &amp; Development</t>
  </si>
  <si>
    <t>Requirements analysis</t>
  </si>
  <si>
    <t>Frontend &amp; Backend</t>
  </si>
  <si>
    <t xml:space="preserve">Total development </t>
  </si>
  <si>
    <t>Quality Control &amp; Deployment</t>
  </si>
  <si>
    <t>Development Testing</t>
  </si>
  <si>
    <t>Unit test &amp; quality improvement</t>
  </si>
  <si>
    <t>Deployment Stage &amp; Production</t>
  </si>
  <si>
    <t>Regression Testing</t>
  </si>
  <si>
    <t>Dev server</t>
  </si>
  <si>
    <t xml:space="preserve">Total QC &amp; Deployment </t>
  </si>
  <si>
    <t>Total direct production</t>
  </si>
  <si>
    <t>Project Time Material Budget</t>
  </si>
  <si>
    <t>Fixed Pricing Risk</t>
  </si>
  <si>
    <t>Project Fixed Price Budget</t>
  </si>
  <si>
    <t>Betaling bij oplevering</t>
  </si>
  <si>
    <t>No</t>
  </si>
  <si>
    <t>Total hours</t>
  </si>
  <si>
    <t>Project Manager</t>
  </si>
  <si>
    <t>Deployment (Devops)</t>
  </si>
  <si>
    <t>Dev Server fee</t>
  </si>
  <si>
    <t>Total billing</t>
  </si>
  <si>
    <t>Cost of work</t>
  </si>
  <si>
    <t>Margin</t>
  </si>
  <si>
    <t>Development (Implementation) PHP</t>
  </si>
  <si>
    <t>Margin AF/BA (50%)</t>
  </si>
  <si>
    <t>Invoice AF to BA</t>
  </si>
  <si>
    <t xml:space="preserve">Implementation effort </t>
  </si>
  <si>
    <t>Total for AIMFIRST VN</t>
  </si>
  <si>
    <t>Status</t>
  </si>
  <si>
    <t>Invoice</t>
  </si>
  <si>
    <t>Deposit (50%)</t>
  </si>
  <si>
    <t>Note</t>
  </si>
  <si>
    <t>Ticket number</t>
  </si>
  <si>
    <t>Breadown task</t>
  </si>
  <si>
    <t>Estimate (hours)</t>
  </si>
  <si>
    <t>TT-AIM-SPRINT 8B</t>
  </si>
  <si>
    <t>Python dev</t>
  </si>
  <si>
    <t>5 weeks</t>
  </si>
  <si>
    <t>15/1/2026</t>
  </si>
  <si>
    <t>W3</t>
  </si>
  <si>
    <t>W4</t>
  </si>
  <si>
    <t>W5</t>
  </si>
  <si>
    <t>TT-2436</t>
  </si>
  <si>
    <t>Implement measures AI misuse</t>
  </si>
  <si>
    <t>FUNCTIONALITIES BREAKDOWN TT-AIM-SPRINT-8C (8 tickets)</t>
  </si>
  <si>
    <t xml:space="preserve"> Deactivate subscription when abnormal usage is registered:
- Tracked user login : 1hr
- Count the number of times the user logs in and the factsheet visited to deactivate : 1hr
- Display message: account deactivated: 1h
- Define the deactivate option for each user and check it when the user logs in: 1hr</t>
  </si>
  <si>
    <t>Provide a warning signal in case of high usage:
-  send notify email : 1hr
- Create notification: 1hr</t>
  </si>
  <si>
    <t>Implement ReCaptcha for page</t>
  </si>
  <si>
    <t>Add CSRF token for form</t>
  </si>
  <si>
    <t>TT-2439</t>
  </si>
  <si>
    <t>Improvement LPB for BargeInsights: Tanker Type specific LPB stats</t>
  </si>
  <si>
    <t>Change 1: instead of update the Python LPB app, we can update berth historical data function (Slim API) for ‘visits’, ‘visit duration’, and ‘waiting time’ : 4hrs</t>
  </si>
  <si>
    <t xml:space="preserve">Change 2 :  update Python LPB app can run with all aset classes </t>
  </si>
  <si>
    <t>Change 3 &amp; change 4</t>
  </si>
  <si>
    <t>TT-2434</t>
  </si>
  <si>
    <t>Split Logistical Benchmarking in Logistical Performance and Product Flows as Non Stripe subscriptions</t>
  </si>
  <si>
    <t>Implement User story 1:
1. Non-Stripe Changes  : 0.5hrs
2. Stripe Subscriptions: 0.5hrs
3. Subscription Inclusion Rules: 0.5hrs
4. Update old data (All existing non-Stripe users who currently have Logistical Benchmarking and therefore access to Product Flows): 1hr
5, Improvement on BI Package: 1hr</t>
  </si>
  <si>
    <t>TT-2423</t>
  </si>
  <si>
    <t>Logical Checks Dashboard</t>
  </si>
  <si>
    <t>User story 1: Logical Checks dashboard</t>
  </si>
  <si>
    <t>User story 2: Label classifications</t>
  </si>
  <si>
    <t>User story 3: Logical Check Rules</t>
  </si>
  <si>
    <r>
      <t>User story 4: Logical check dashboard:
- Render layout :
-- Tab 1: 2hrs
-- Tab 2: 4hrs
-- Edit terminal : 6hrs
- Execute Rules (has 30 rules) --&gt;</t>
    </r>
    <r>
      <rPr>
        <b/>
        <sz val="12"/>
        <rFont val="Arial"/>
        <family val="2"/>
      </rPr>
      <t xml:space="preserve"> 32 hours</t>
    </r>
    <r>
      <rPr>
        <sz val="12"/>
        <rFont val="Arial"/>
        <family val="2"/>
      </rPr>
      <t xml:space="preserve">
- Approving and Revoking approved a Warning --&gt; 1 hour
- Check the approved warning in the Rule --&gt; 1 hour</t>
    </r>
  </si>
  <si>
    <t>User story 5</t>
  </si>
  <si>
    <t>TT-2444</t>
  </si>
  <si>
    <t>Rhine CPP: Low and High and make available in API</t>
  </si>
  <si>
    <t>- Back Office – Gasoil
- Back Office – Gasoiline
- API requirements</t>
  </si>
  <si>
    <t>TT-2435</t>
  </si>
  <si>
    <t>Improvement on Ship and Terminal Modal</t>
  </si>
  <si>
    <t>User story 0 : Improvement of Terminal factsheet information</t>
  </si>
  <si>
    <t>User story 1: Access detailed terminal information from the map</t>
  </si>
  <si>
    <t>User story 2: Access Logistical Performance with berth overview widget</t>
  </si>
  <si>
    <t>User story 3: Access detailed ship information from the map and Past route</t>
  </si>
  <si>
    <t>TT-2443</t>
  </si>
  <si>
    <t>The current platform UI is desktop-optimized and not designed for mobile responsive layouts.
For TT-2435 we propose implementing adaptive panel behavior for smaller laptop screens only.
Full mobile responsiveness would require a larger UI refactor outside the scope of this ticket.</t>
  </si>
  <si>
    <t>Process Historical Waiting Times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</si>
</sst>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"/>
    <numFmt numFmtId="165" formatCode="_([$€-2]\ * #,##0.00_);_([$€-2]\ * \(#,##0.00\);_([$€-2]\ * &quot;-&quot;??_);_(@_)"/>
    <numFmt numFmtId="166" formatCode="&quot;€&quot;\ #,##0"/>
    <numFmt numFmtId="167" formatCode="&quot;€&quot;\ #,##0.00"/>
    <numFmt numFmtId="168" formatCode="[$-409]d\-mmm;@"/>
  </numFmts>
  <fonts count="22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1"/>
      <color theme="4"/>
      <name val="Helvetica"/>
      <family val="2"/>
    </font>
    <font>
      <sz val="10"/>
      <color rgb="FF000000"/>
      <name val="Helvetica"/>
      <family val="2"/>
    </font>
    <font>
      <b/>
      <sz val="10"/>
      <color theme="1" tint="0.24994659260841701"/>
      <name val="Arial"/>
      <family val="2"/>
    </font>
    <font>
      <sz val="10"/>
      <color theme="1" tint="0.24994659260841701"/>
      <name val="Arial"/>
      <family val="2"/>
    </font>
    <font>
      <i/>
      <sz val="10"/>
      <color theme="1" tint="0.24994659260841701"/>
      <name val="Arial"/>
      <family val="2"/>
    </font>
    <font>
      <sz val="12"/>
      <color rgb="FF000000"/>
      <name val="Arial"/>
      <family val="2"/>
    </font>
    <font>
      <b/>
      <sz val="13"/>
      <name val="Arial"/>
      <family val="2"/>
    </font>
    <font>
      <sz val="13"/>
      <color rgb="FF00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145">
    <xf numFmtId="0" fontId="0" fillId="0" borderId="0" xfId="0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0" borderId="2" xfId="0" applyFont="1" applyBorder="1" applyAlignment="1">
      <alignment vertical="center" wrapText="1"/>
    </xf>
    <xf numFmtId="9" fontId="2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1" fontId="1" fillId="0" borderId="2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/>
    </xf>
    <xf numFmtId="9" fontId="1" fillId="0" borderId="0" xfId="0" applyNumberFormat="1" applyFont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horizontal="right" vertical="center" wrapText="1"/>
    </xf>
    <xf numFmtId="0" fontId="1" fillId="0" borderId="9" xfId="0" applyFont="1" applyBorder="1" applyAlignment="1">
      <alignment vertical="center" wrapText="1"/>
    </xf>
    <xf numFmtId="9" fontId="5" fillId="0" borderId="5" xfId="0" applyNumberFormat="1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0" fillId="0" borderId="11" xfId="0" applyBorder="1" applyAlignment="1">
      <alignment wrapText="1"/>
    </xf>
    <xf numFmtId="0" fontId="7" fillId="0" borderId="11" xfId="0" applyFont="1" applyBorder="1" applyAlignment="1">
      <alignment wrapText="1"/>
    </xf>
    <xf numFmtId="165" fontId="0" fillId="0" borderId="11" xfId="0" applyNumberFormat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6" fillId="0" borderId="0" xfId="2" applyAlignment="1">
      <alignment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wrapText="1"/>
    </xf>
    <xf numFmtId="164" fontId="6" fillId="0" borderId="0" xfId="2" applyNumberFormat="1" applyAlignment="1">
      <alignment wrapText="1"/>
    </xf>
    <xf numFmtId="0" fontId="6" fillId="0" borderId="0" xfId="2" applyAlignment="1">
      <alignment horizontal="center" vertical="center" wrapText="1"/>
    </xf>
    <xf numFmtId="164" fontId="7" fillId="0" borderId="0" xfId="2" applyNumberFormat="1" applyFont="1" applyAlignment="1">
      <alignment horizontal="right" wrapText="1"/>
    </xf>
    <xf numFmtId="0" fontId="7" fillId="0" borderId="0" xfId="2" applyFont="1" applyAlignment="1">
      <alignment horizontal="right" wrapText="1"/>
    </xf>
    <xf numFmtId="0" fontId="15" fillId="0" borderId="0" xfId="2" applyFont="1" applyAlignment="1">
      <alignment wrapText="1"/>
    </xf>
    <xf numFmtId="164" fontId="16" fillId="0" borderId="0" xfId="2" applyNumberFormat="1" applyFont="1" applyAlignment="1">
      <alignment horizontal="right" wrapText="1"/>
    </xf>
    <xf numFmtId="0" fontId="16" fillId="0" borderId="0" xfId="2" applyFont="1" applyAlignment="1">
      <alignment horizontal="right" wrapText="1"/>
    </xf>
    <xf numFmtId="4" fontId="16" fillId="0" borderId="0" xfId="2" applyNumberFormat="1" applyFont="1" applyAlignment="1">
      <alignment horizontal="right" wrapText="1"/>
    </xf>
    <xf numFmtId="0" fontId="16" fillId="0" borderId="0" xfId="2" applyFont="1" applyAlignment="1">
      <alignment wrapText="1"/>
    </xf>
    <xf numFmtId="164" fontId="16" fillId="0" borderId="0" xfId="2" applyNumberFormat="1" applyFont="1" applyAlignment="1">
      <alignment wrapText="1"/>
    </xf>
    <xf numFmtId="9" fontId="16" fillId="0" borderId="0" xfId="3" applyFont="1" applyAlignment="1">
      <alignment wrapText="1"/>
    </xf>
    <xf numFmtId="4" fontId="16" fillId="0" borderId="0" xfId="2" applyNumberFormat="1" applyFont="1" applyAlignment="1">
      <alignment wrapText="1"/>
    </xf>
    <xf numFmtId="166" fontId="16" fillId="0" borderId="0" xfId="2" applyNumberFormat="1" applyFont="1" applyAlignment="1">
      <alignment wrapText="1"/>
    </xf>
    <xf numFmtId="9" fontId="16" fillId="0" borderId="0" xfId="3" applyFont="1" applyBorder="1" applyAlignment="1">
      <alignment wrapText="1"/>
    </xf>
    <xf numFmtId="0" fontId="15" fillId="0" borderId="15" xfId="2" applyFont="1" applyBorder="1" applyAlignment="1">
      <alignment wrapText="1"/>
    </xf>
    <xf numFmtId="164" fontId="15" fillId="0" borderId="15" xfId="2" applyNumberFormat="1" applyFont="1" applyBorder="1" applyAlignment="1">
      <alignment wrapText="1"/>
    </xf>
    <xf numFmtId="9" fontId="15" fillId="0" borderId="15" xfId="3" applyFont="1" applyBorder="1" applyAlignment="1">
      <alignment wrapText="1"/>
    </xf>
    <xf numFmtId="4" fontId="15" fillId="0" borderId="15" xfId="2" applyNumberFormat="1" applyFont="1" applyBorder="1" applyAlignment="1">
      <alignment wrapText="1"/>
    </xf>
    <xf numFmtId="166" fontId="15" fillId="0" borderId="15" xfId="2" applyNumberFormat="1" applyFont="1" applyBorder="1" applyAlignment="1">
      <alignment wrapText="1"/>
    </xf>
    <xf numFmtId="9" fontId="16" fillId="0" borderId="12" xfId="3" applyFont="1" applyBorder="1" applyAlignment="1">
      <alignment wrapText="1"/>
    </xf>
    <xf numFmtId="0" fontId="17" fillId="0" borderId="0" xfId="2" applyFont="1" applyAlignment="1">
      <alignment wrapText="1"/>
    </xf>
    <xf numFmtId="164" fontId="17" fillId="0" borderId="0" xfId="2" applyNumberFormat="1" applyFont="1" applyAlignment="1">
      <alignment wrapText="1"/>
    </xf>
    <xf numFmtId="9" fontId="17" fillId="0" borderId="0" xfId="3" applyFont="1" applyAlignment="1">
      <alignment wrapText="1"/>
    </xf>
    <xf numFmtId="4" fontId="17" fillId="0" borderId="0" xfId="2" applyNumberFormat="1" applyFont="1" applyAlignment="1">
      <alignment wrapText="1"/>
    </xf>
    <xf numFmtId="166" fontId="17" fillId="0" borderId="0" xfId="2" applyNumberFormat="1" applyFont="1" applyAlignment="1">
      <alignment wrapText="1"/>
    </xf>
    <xf numFmtId="0" fontId="15" fillId="0" borderId="16" xfId="2" applyFont="1" applyBorder="1" applyAlignment="1">
      <alignment wrapText="1"/>
    </xf>
    <xf numFmtId="3" fontId="15" fillId="0" borderId="16" xfId="2" applyNumberFormat="1" applyFont="1" applyBorder="1" applyAlignment="1">
      <alignment wrapText="1"/>
    </xf>
    <xf numFmtId="4" fontId="15" fillId="0" borderId="16" xfId="2" applyNumberFormat="1" applyFont="1" applyBorder="1" applyAlignment="1">
      <alignment wrapText="1"/>
    </xf>
    <xf numFmtId="166" fontId="6" fillId="0" borderId="0" xfId="2" applyNumberFormat="1" applyAlignment="1">
      <alignment wrapText="1"/>
    </xf>
    <xf numFmtId="2" fontId="0" fillId="0" borderId="11" xfId="0" applyNumberFormat="1" applyBorder="1" applyAlignment="1">
      <alignment wrapText="1"/>
    </xf>
    <xf numFmtId="2" fontId="7" fillId="0" borderId="13" xfId="0" applyNumberFormat="1" applyFont="1" applyBorder="1" applyAlignment="1">
      <alignment wrapText="1"/>
    </xf>
    <xf numFmtId="165" fontId="7" fillId="0" borderId="11" xfId="0" applyNumberFormat="1" applyFont="1" applyBorder="1" applyAlignment="1">
      <alignment wrapText="1"/>
    </xf>
    <xf numFmtId="165" fontId="10" fillId="0" borderId="11" xfId="0" applyNumberFormat="1" applyFont="1" applyBorder="1" applyAlignment="1">
      <alignment wrapText="1"/>
    </xf>
    <xf numFmtId="0" fontId="6" fillId="0" borderId="0" xfId="2" applyAlignment="1">
      <alignment vertical="center" wrapText="1"/>
    </xf>
    <xf numFmtId="164" fontId="6" fillId="0" borderId="0" xfId="2" applyNumberFormat="1" applyAlignment="1">
      <alignment vertical="center" wrapText="1"/>
    </xf>
    <xf numFmtId="165" fontId="0" fillId="0" borderId="0" xfId="0" applyNumberFormat="1" applyAlignment="1">
      <alignment wrapText="1"/>
    </xf>
    <xf numFmtId="0" fontId="6" fillId="0" borderId="11" xfId="2" applyBorder="1" applyAlignment="1">
      <alignment horizontal="center" vertical="center" wrapText="1"/>
    </xf>
    <xf numFmtId="0" fontId="6" fillId="0" borderId="11" xfId="2" applyBorder="1" applyAlignment="1">
      <alignment horizontal="right" wrapText="1"/>
    </xf>
    <xf numFmtId="0" fontId="6" fillId="0" borderId="11" xfId="2" applyBorder="1" applyAlignment="1">
      <alignment wrapText="1"/>
    </xf>
    <xf numFmtId="0" fontId="6" fillId="0" borderId="11" xfId="2" applyBorder="1" applyAlignment="1">
      <alignment horizontal="left" vertical="center" wrapText="1"/>
    </xf>
    <xf numFmtId="0" fontId="6" fillId="0" borderId="11" xfId="2" applyBorder="1" applyAlignment="1">
      <alignment vertical="center" wrapText="1"/>
    </xf>
    <xf numFmtId="167" fontId="16" fillId="0" borderId="11" xfId="2" applyNumberFormat="1" applyFont="1" applyBorder="1" applyAlignment="1">
      <alignment wrapText="1"/>
    </xf>
    <xf numFmtId="167" fontId="6" fillId="0" borderId="11" xfId="2" applyNumberFormat="1" applyBorder="1" applyAlignment="1">
      <alignment wrapText="1"/>
    </xf>
    <xf numFmtId="167" fontId="6" fillId="0" borderId="11" xfId="2" applyNumberFormat="1" applyBorder="1" applyAlignment="1">
      <alignment vertical="center" wrapText="1"/>
    </xf>
    <xf numFmtId="167" fontId="15" fillId="0" borderId="16" xfId="2" applyNumberFormat="1" applyFont="1" applyBorder="1" applyAlignment="1">
      <alignment wrapText="1"/>
    </xf>
    <xf numFmtId="167" fontId="16" fillId="0" borderId="17" xfId="2" applyNumberFormat="1" applyFont="1" applyBorder="1" applyAlignment="1">
      <alignment wrapText="1"/>
    </xf>
    <xf numFmtId="2" fontId="16" fillId="0" borderId="0" xfId="2" applyNumberFormat="1" applyFont="1" applyAlignment="1">
      <alignment wrapText="1"/>
    </xf>
    <xf numFmtId="0" fontId="7" fillId="0" borderId="0" xfId="0" applyFont="1" applyAlignment="1">
      <alignment wrapText="1"/>
    </xf>
    <xf numFmtId="165" fontId="7" fillId="0" borderId="0" xfId="0" applyNumberFormat="1" applyFont="1" applyAlignment="1">
      <alignment wrapText="1"/>
    </xf>
    <xf numFmtId="9" fontId="6" fillId="0" borderId="11" xfId="2" applyNumberFormat="1" applyBorder="1" applyAlignment="1">
      <alignment wrapText="1"/>
    </xf>
    <xf numFmtId="0" fontId="7" fillId="0" borderId="11" xfId="2" applyFont="1" applyBorder="1" applyAlignment="1">
      <alignment wrapText="1"/>
    </xf>
    <xf numFmtId="167" fontId="7" fillId="0" borderId="11" xfId="2" applyNumberFormat="1" applyFont="1" applyBorder="1" applyAlignment="1">
      <alignment wrapText="1"/>
    </xf>
    <xf numFmtId="167" fontId="15" fillId="0" borderId="17" xfId="2" applyNumberFormat="1" applyFont="1" applyBorder="1" applyAlignment="1">
      <alignment vertical="center" wrapText="1"/>
    </xf>
    <xf numFmtId="168" fontId="1" fillId="3" borderId="0" xfId="0" applyNumberFormat="1" applyFont="1" applyFill="1" applyAlignment="1">
      <alignment horizontal="left" wrapText="1"/>
    </xf>
    <xf numFmtId="0" fontId="7" fillId="0" borderId="18" xfId="0" applyFont="1" applyBorder="1" applyAlignment="1">
      <alignment horizontal="center" vertical="center" wrapText="1"/>
    </xf>
    <xf numFmtId="0" fontId="18" fillId="0" borderId="11" xfId="0" applyFont="1" applyBorder="1" applyAlignment="1">
      <alignment wrapText="1"/>
    </xf>
    <xf numFmtId="0" fontId="21" fillId="0" borderId="11" xfId="0" applyFont="1" applyBorder="1" applyAlignment="1">
      <alignment horizontal="left" wrapText="1"/>
    </xf>
    <xf numFmtId="0" fontId="21" fillId="0" borderId="11" xfId="0" applyFont="1" applyBorder="1" applyAlignment="1">
      <alignment horizontal="center" vertical="center" wrapText="1"/>
    </xf>
    <xf numFmtId="0" fontId="21" fillId="0" borderId="11" xfId="0" quotePrefix="1" applyFont="1" applyBorder="1" applyAlignment="1">
      <alignment horizontal="left" wrapText="1"/>
    </xf>
    <xf numFmtId="0" fontId="18" fillId="0" borderId="0" xfId="0" applyFont="1" applyAlignment="1">
      <alignment wrapText="1"/>
    </xf>
    <xf numFmtId="0" fontId="8" fillId="0" borderId="11" xfId="0" applyFont="1" applyBorder="1" applyAlignment="1">
      <alignment wrapText="1"/>
    </xf>
    <xf numFmtId="44" fontId="0" fillId="0" borderId="0" xfId="1" applyFont="1" applyBorder="1" applyAlignment="1">
      <alignment wrapText="1"/>
    </xf>
    <xf numFmtId="0" fontId="19" fillId="0" borderId="11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2" fontId="2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9" fillId="0" borderId="1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vertical="center" wrapText="1"/>
    </xf>
    <xf numFmtId="0" fontId="13" fillId="0" borderId="0" xfId="2" applyFont="1" applyAlignment="1">
      <alignment horizontal="left" vertical="center" wrapText="1"/>
    </xf>
    <xf numFmtId="0" fontId="6" fillId="0" borderId="0" xfId="2" applyAlignment="1">
      <alignment wrapText="1"/>
    </xf>
    <xf numFmtId="0" fontId="6" fillId="0" borderId="11" xfId="2" applyBorder="1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9" fillId="0" borderId="20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11" fillId="0" borderId="14" xfId="0" applyFont="1" applyBorder="1" applyAlignment="1">
      <alignment horizontal="right" vertical="center" wrapText="1"/>
    </xf>
    <xf numFmtId="0" fontId="11" fillId="0" borderId="12" xfId="0" applyFont="1" applyBorder="1" applyAlignment="1">
      <alignment horizontal="right" vertical="center" wrapText="1"/>
    </xf>
    <xf numFmtId="0" fontId="11" fillId="0" borderId="19" xfId="0" applyFont="1" applyBorder="1" applyAlignment="1">
      <alignment horizontal="right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</cellXfs>
  <cellStyles count="4">
    <cellStyle name="Currency 2" xfId="1" xr:uid="{00000000-0005-0000-0000-000001000000}"/>
    <cellStyle name="Normal" xfId="0" builtinId="0"/>
    <cellStyle name="Normal 2" xfId="2" xr:uid="{A22F54C1-7C36-6247-A5D3-EB6824DC7B51}"/>
    <cellStyle name="Per cent 2" xfId="3" xr:uid="{CEE56AAD-F73C-564F-A3F9-7C1E4B552230}"/>
  </cellStyles>
  <dxfs count="16">
    <dxf>
      <font>
        <color rgb="FF3D85C6"/>
      </font>
      <fill>
        <patternFill patternType="solid">
          <fgColor rgb="FFCFE2F3"/>
          <bgColor rgb="FFCFE2F3"/>
        </patternFill>
      </fill>
    </dxf>
    <dxf>
      <font>
        <color rgb="FF660000"/>
      </font>
      <fill>
        <patternFill patternType="solid">
          <fgColor rgb="FFEA9999"/>
          <bgColor rgb="FFEA9999"/>
        </patternFill>
      </fill>
    </dxf>
    <dxf>
      <font>
        <color rgb="FF3D85C6"/>
      </font>
      <fill>
        <patternFill patternType="solid">
          <fgColor rgb="FFCFE2F3"/>
          <bgColor rgb="FFCFE2F3"/>
        </patternFill>
      </fill>
    </dxf>
    <dxf>
      <font>
        <color rgb="FF660000"/>
      </font>
      <fill>
        <patternFill patternType="solid">
          <fgColor rgb="FFEA9999"/>
          <bgColor rgb="FFEA9999"/>
        </patternFill>
      </fill>
    </dxf>
    <dxf>
      <font>
        <color rgb="FF3D85C6"/>
      </font>
      <fill>
        <patternFill patternType="solid">
          <fgColor rgb="FFCFE2F3"/>
          <bgColor rgb="FFCFE2F3"/>
        </patternFill>
      </fill>
    </dxf>
    <dxf>
      <font>
        <color rgb="FF660000"/>
      </font>
      <fill>
        <patternFill patternType="solid">
          <fgColor rgb="FFEA9999"/>
          <bgColor rgb="FFEA9999"/>
        </patternFill>
      </fill>
    </dxf>
    <dxf>
      <font>
        <color rgb="FF3D85C6"/>
      </font>
      <fill>
        <patternFill patternType="solid">
          <fgColor rgb="FFCFE2F3"/>
          <bgColor rgb="FFCFE2F3"/>
        </patternFill>
      </fill>
    </dxf>
    <dxf>
      <font>
        <color rgb="FF660000"/>
      </font>
      <fill>
        <patternFill patternType="solid">
          <fgColor rgb="FFEA9999"/>
          <bgColor rgb="FFEA9999"/>
        </patternFill>
      </fill>
    </dxf>
    <dxf>
      <font>
        <strike val="0"/>
        <outline val="0"/>
        <shadow val="0"/>
        <u val="none"/>
        <vertAlign val="baseline"/>
        <sz val="10"/>
        <color theme="1" tint="0.2499465926084170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1" tint="0.2499465926084170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465926084170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 tint="0.24994659260841701"/>
        <name val="Arial"/>
        <scheme val="none"/>
      </font>
      <numFmt numFmtId="164" formatCode="0.0"/>
    </dxf>
    <dxf>
      <font>
        <strike val="0"/>
        <outline val="0"/>
        <shadow val="0"/>
        <u val="none"/>
        <vertAlign val="baseline"/>
        <sz val="10"/>
        <color theme="1" tint="0.24994659260841701"/>
        <name val="Arial"/>
        <scheme val="none"/>
      </font>
    </dxf>
    <dxf>
      <border outline="0">
        <bottom style="double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404040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99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AEE8C9-D8F5-3F49-8932-BF7EF19A6233}" name="Table3333" displayName="Table3333" ref="B4:F27" totalsRowShown="0" headerRowDxfId="15" dataDxfId="14" tableBorderDxfId="13">
  <tableColumns count="5">
    <tableColumn id="1" xr3:uid="{0C95235E-DC77-5544-A1B3-2CDFA2CFB82A}" name="Description" dataDxfId="12"/>
    <tableColumn id="2" xr3:uid="{EFD509B7-4C3F-944A-B015-39075F2FA013}" name="Hrs" dataDxfId="11"/>
    <tableColumn id="3" xr3:uid="{56A02CCB-8F7B-7941-BC6B-76A83ACCACD3}" name="Split" dataDxfId="10"/>
    <tableColumn id="4" xr3:uid="{7003F658-7ED2-5E42-B375-B52C18362A01}" name="Rate" dataDxfId="9"/>
    <tableColumn id="5" xr3:uid="{87199F2F-098F-6A4A-8D81-F5F93F5E0CB3}" name="Amoun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157A-B137-7E4F-BF10-C784DDAC07AB}">
  <dimension ref="B2:M32"/>
  <sheetViews>
    <sheetView showGridLines="0" topLeftCell="A10" zoomScale="115" zoomScaleNormal="115" workbookViewId="0">
      <selection activeCell="K20" sqref="K20"/>
    </sheetView>
  </sheetViews>
  <sheetFormatPr defaultColWidth="10.88671875" defaultRowHeight="13.2" x14ac:dyDescent="0.25"/>
  <cols>
    <col min="1" max="1" width="3.88671875" style="44" customWidth="1"/>
    <col min="2" max="2" width="26.44140625" style="44" customWidth="1"/>
    <col min="3" max="3" width="10.88671875" style="47" customWidth="1"/>
    <col min="4" max="4" width="11.6640625" style="44" bestFit="1" customWidth="1"/>
    <col min="5" max="5" width="10.88671875" style="44"/>
    <col min="6" max="6" width="11.109375" style="44" customWidth="1"/>
    <col min="7" max="7" width="17.44140625" style="48" customWidth="1"/>
    <col min="8" max="8" width="11.44140625" style="44" bestFit="1" customWidth="1"/>
    <col min="9" max="9" width="9.88671875" style="44" bestFit="1" customWidth="1"/>
    <col min="10" max="10" width="20.5546875" style="44" customWidth="1"/>
    <col min="11" max="11" width="15" style="44" bestFit="1" customWidth="1"/>
    <col min="12" max="12" width="27.44140625" style="44" customWidth="1"/>
    <col min="13" max="16384" width="10.88671875" style="44"/>
  </cols>
  <sheetData>
    <row r="2" spans="2:7" s="46" customFormat="1" ht="22.2" customHeight="1" x14ac:dyDescent="0.25">
      <c r="B2" s="122" t="s">
        <v>37</v>
      </c>
      <c r="C2" s="122"/>
      <c r="D2" s="122"/>
      <c r="E2" s="122"/>
      <c r="F2" s="123"/>
      <c r="G2" s="45"/>
    </row>
    <row r="3" spans="2:7" ht="15" customHeight="1" x14ac:dyDescent="0.25"/>
    <row r="4" spans="2:7" ht="15" customHeight="1" x14ac:dyDescent="0.25">
      <c r="B4" s="44" t="s">
        <v>38</v>
      </c>
      <c r="C4" s="49" t="s">
        <v>39</v>
      </c>
      <c r="D4" s="50" t="s">
        <v>40</v>
      </c>
      <c r="E4" s="50" t="s">
        <v>31</v>
      </c>
      <c r="F4" s="50" t="s">
        <v>41</v>
      </c>
    </row>
    <row r="5" spans="2:7" ht="15" customHeight="1" x14ac:dyDescent="0.25">
      <c r="B5" s="51" t="s">
        <v>42</v>
      </c>
      <c r="C5" s="52"/>
      <c r="D5" s="53"/>
      <c r="E5" s="54"/>
      <c r="F5" s="53"/>
    </row>
    <row r="6" spans="2:7" ht="15" customHeight="1" x14ac:dyDescent="0.25">
      <c r="B6" s="55" t="s">
        <v>43</v>
      </c>
      <c r="C6" s="56">
        <f>0.15*'Commercial (Met meerwerk)'!C9</f>
        <v>24.3</v>
      </c>
      <c r="D6" s="57">
        <f>Estimate!B13</f>
        <v>0.1</v>
      </c>
      <c r="E6" s="58">
        <v>27.5</v>
      </c>
      <c r="F6" s="59">
        <f>C6*E6</f>
        <v>668.25</v>
      </c>
    </row>
    <row r="7" spans="2:7" ht="15" customHeight="1" x14ac:dyDescent="0.25">
      <c r="B7" s="55" t="s">
        <v>13</v>
      </c>
      <c r="C7" s="56">
        <f>C9*0.05</f>
        <v>8.1</v>
      </c>
      <c r="D7" s="60">
        <f>Estimate!B14</f>
        <v>0.05</v>
      </c>
      <c r="E7" s="58">
        <v>27.5</v>
      </c>
      <c r="F7" s="59">
        <f>C7*E7</f>
        <v>222.75</v>
      </c>
    </row>
    <row r="8" spans="2:7" ht="15" customHeight="1" x14ac:dyDescent="0.25">
      <c r="B8" s="55" t="s">
        <v>14</v>
      </c>
      <c r="C8" s="56">
        <f>0.1*C9</f>
        <v>16.2</v>
      </c>
      <c r="D8" s="57">
        <f>Estimate!B13</f>
        <v>0.1</v>
      </c>
      <c r="E8" s="58">
        <v>27.5</v>
      </c>
      <c r="F8" s="59">
        <f>C8*E8</f>
        <v>445.5</v>
      </c>
    </row>
    <row r="9" spans="2:7" ht="15" customHeight="1" x14ac:dyDescent="0.25">
      <c r="B9" s="55" t="s">
        <v>44</v>
      </c>
      <c r="C9" s="56">
        <f>FunctionalitiesBreakdown!E27</f>
        <v>162</v>
      </c>
      <c r="D9" s="57">
        <v>1</v>
      </c>
      <c r="E9" s="58">
        <v>27.5</v>
      </c>
      <c r="F9" s="59">
        <f>C9*E9</f>
        <v>4455</v>
      </c>
    </row>
    <row r="10" spans="2:7" ht="15" customHeight="1" x14ac:dyDescent="0.25">
      <c r="B10" s="55"/>
      <c r="C10" s="56"/>
      <c r="D10" s="57"/>
      <c r="E10" s="58"/>
      <c r="F10" s="59"/>
    </row>
    <row r="11" spans="2:7" ht="15" customHeight="1" thickBot="1" x14ac:dyDescent="0.3">
      <c r="B11" s="61" t="s">
        <v>45</v>
      </c>
      <c r="C11" s="62">
        <f>SUBTOTAL(109,C5:C10)</f>
        <v>210.6</v>
      </c>
      <c r="D11" s="63">
        <f>D6+D9+D7</f>
        <v>1.1500000000000001</v>
      </c>
      <c r="E11" s="64">
        <f>F11/C11</f>
        <v>27.5</v>
      </c>
      <c r="F11" s="65">
        <f>SUBTOTAL(109,F5:F10)</f>
        <v>5791.5</v>
      </c>
    </row>
    <row r="12" spans="2:7" ht="15" customHeight="1" thickTop="1" x14ac:dyDescent="0.25">
      <c r="B12" s="55"/>
      <c r="C12" s="56"/>
      <c r="D12" s="57"/>
      <c r="E12" s="58"/>
      <c r="F12" s="55"/>
    </row>
    <row r="13" spans="2:7" ht="15" customHeight="1" x14ac:dyDescent="0.25">
      <c r="B13" s="51" t="s">
        <v>46</v>
      </c>
      <c r="C13" s="56"/>
      <c r="D13" s="57"/>
      <c r="E13" s="58"/>
      <c r="F13" s="59"/>
    </row>
    <row r="14" spans="2:7" x14ac:dyDescent="0.25">
      <c r="B14" s="55" t="s">
        <v>47</v>
      </c>
      <c r="C14" s="56">
        <f>0.15*C9</f>
        <v>24.3</v>
      </c>
      <c r="D14" s="57">
        <v>0.15</v>
      </c>
      <c r="E14" s="58">
        <v>24</v>
      </c>
      <c r="F14" s="59">
        <f>C14*E14</f>
        <v>583.20000000000005</v>
      </c>
    </row>
    <row r="15" spans="2:7" x14ac:dyDescent="0.25">
      <c r="B15" s="55" t="s">
        <v>48</v>
      </c>
      <c r="C15" s="56">
        <f>0*C9</f>
        <v>0</v>
      </c>
      <c r="D15" s="57">
        <f>C15/$C$20</f>
        <v>0</v>
      </c>
      <c r="E15" s="58">
        <v>25.75</v>
      </c>
      <c r="F15" s="59">
        <f>C15*E15</f>
        <v>0</v>
      </c>
    </row>
    <row r="16" spans="2:7" ht="26.4" x14ac:dyDescent="0.25">
      <c r="B16" s="55" t="s">
        <v>49</v>
      </c>
      <c r="C16" s="93">
        <f>0.05*C9</f>
        <v>8.1</v>
      </c>
      <c r="D16" s="57">
        <f>Estimate!B16</f>
        <v>0.1</v>
      </c>
      <c r="E16" s="58">
        <v>38.5</v>
      </c>
      <c r="F16" s="59">
        <f>C16*E16</f>
        <v>311.84999999999997</v>
      </c>
    </row>
    <row r="17" spans="2:13" x14ac:dyDescent="0.25">
      <c r="B17" s="55" t="s">
        <v>17</v>
      </c>
      <c r="C17" s="93">
        <f>0.05*C9</f>
        <v>8.1</v>
      </c>
      <c r="D17" s="57">
        <f>Estimate!B19</f>
        <v>0.1</v>
      </c>
      <c r="E17" s="58">
        <v>38.5</v>
      </c>
      <c r="F17" s="59">
        <f>C17*E17</f>
        <v>311.84999999999997</v>
      </c>
    </row>
    <row r="18" spans="2:13" x14ac:dyDescent="0.25">
      <c r="B18" s="55" t="s">
        <v>50</v>
      </c>
      <c r="C18" s="56"/>
      <c r="D18" s="60">
        <f>C18/$C$20</f>
        <v>0</v>
      </c>
      <c r="E18" s="58">
        <v>24</v>
      </c>
      <c r="F18" s="59">
        <f>C18*E18</f>
        <v>0</v>
      </c>
    </row>
    <row r="19" spans="2:13" x14ac:dyDescent="0.25">
      <c r="B19" s="55" t="s">
        <v>51</v>
      </c>
      <c r="C19" s="56"/>
      <c r="D19" s="66"/>
      <c r="E19" s="58"/>
      <c r="F19" s="59">
        <v>93</v>
      </c>
    </row>
    <row r="20" spans="2:13" ht="15" customHeight="1" thickBot="1" x14ac:dyDescent="0.3">
      <c r="B20" s="61" t="s">
        <v>52</v>
      </c>
      <c r="C20" s="62">
        <f>SUM(C14:C18)</f>
        <v>40.5</v>
      </c>
      <c r="D20" s="63">
        <f>SUBTOTAL(109,D14:D18)</f>
        <v>0.35</v>
      </c>
      <c r="E20" s="64">
        <f>F20/C20</f>
        <v>32.096296296296295</v>
      </c>
      <c r="F20" s="65">
        <f>SUBTOTAL(109,F14:F19)</f>
        <v>1299.8999999999999</v>
      </c>
    </row>
    <row r="21" spans="2:13" ht="13.8" thickTop="1" x14ac:dyDescent="0.25">
      <c r="B21" s="55"/>
      <c r="C21" s="56"/>
      <c r="D21" s="55"/>
      <c r="E21" s="58"/>
      <c r="F21" s="55"/>
    </row>
    <row r="22" spans="2:13" ht="13.8" thickBot="1" x14ac:dyDescent="0.3">
      <c r="B22" s="61" t="s">
        <v>53</v>
      </c>
      <c r="C22" s="62">
        <f>C11+C20</f>
        <v>251.1</v>
      </c>
      <c r="D22" s="61"/>
      <c r="E22" s="64"/>
      <c r="F22" s="65">
        <f>F11+F20</f>
        <v>7091.4</v>
      </c>
    </row>
    <row r="23" spans="2:13" ht="13.8" thickTop="1" x14ac:dyDescent="0.25">
      <c r="B23" s="55"/>
      <c r="C23" s="56"/>
      <c r="D23" s="55"/>
      <c r="E23" s="58"/>
      <c r="F23" s="55"/>
    </row>
    <row r="24" spans="2:13" x14ac:dyDescent="0.25">
      <c r="B24" s="55" t="s">
        <v>18</v>
      </c>
      <c r="C24" s="56">
        <f>C9*Table3333[[#This Row],[Split]]</f>
        <v>16.2</v>
      </c>
      <c r="D24" s="57">
        <f>Estimate!B20</f>
        <v>0.1</v>
      </c>
      <c r="E24" s="58">
        <v>38.5</v>
      </c>
      <c r="F24" s="59">
        <f>C24*E24</f>
        <v>623.69999999999993</v>
      </c>
    </row>
    <row r="25" spans="2:13" x14ac:dyDescent="0.25">
      <c r="B25" s="55" t="s">
        <v>54</v>
      </c>
      <c r="C25" s="56">
        <f>C22+C24</f>
        <v>267.3</v>
      </c>
      <c r="D25" s="55"/>
      <c r="E25" s="58"/>
      <c r="F25" s="59">
        <f>F22+F24</f>
        <v>7715.0999999999995</v>
      </c>
    </row>
    <row r="26" spans="2:13" x14ac:dyDescent="0.25">
      <c r="B26" s="67" t="s">
        <v>55</v>
      </c>
      <c r="C26" s="68">
        <f>D26*C25</f>
        <v>0</v>
      </c>
      <c r="D26" s="69">
        <v>0</v>
      </c>
      <c r="E26" s="70"/>
      <c r="F26" s="71">
        <f>D26*F25</f>
        <v>0</v>
      </c>
      <c r="G26" s="83"/>
      <c r="H26" s="84" t="s">
        <v>64</v>
      </c>
      <c r="I26" s="84" t="s">
        <v>65</v>
      </c>
      <c r="J26" s="84" t="s">
        <v>67</v>
      </c>
      <c r="K26" s="84" t="s">
        <v>68</v>
      </c>
      <c r="L26" s="85" t="s">
        <v>72</v>
      </c>
      <c r="M26" s="85" t="s">
        <v>71</v>
      </c>
    </row>
    <row r="27" spans="2:13" x14ac:dyDescent="0.25">
      <c r="B27" s="72" t="s">
        <v>56</v>
      </c>
      <c r="C27" s="73">
        <f>C25+C26</f>
        <v>267.3</v>
      </c>
      <c r="D27" s="72"/>
      <c r="E27" s="74">
        <f>F27/C27</f>
        <v>28.863075196408527</v>
      </c>
      <c r="F27" s="91">
        <f>F25+F26</f>
        <v>7715.0999999999995</v>
      </c>
      <c r="G27" s="83"/>
      <c r="H27" s="88">
        <f>'CostOf Wok'!E12</f>
        <v>6370.1999999999989</v>
      </c>
      <c r="I27" s="88">
        <f>Table3333[[#This Row],[Amount]]-H27</f>
        <v>1344.9000000000005</v>
      </c>
      <c r="J27" s="85"/>
      <c r="K27" s="85"/>
      <c r="L27" s="85"/>
      <c r="M27" s="85"/>
    </row>
    <row r="28" spans="2:13" x14ac:dyDescent="0.25">
      <c r="F28" s="75"/>
      <c r="G28" s="124"/>
      <c r="H28" s="124"/>
      <c r="I28" s="85"/>
      <c r="J28" s="85"/>
      <c r="K28" s="85"/>
      <c r="L28" s="85"/>
      <c r="M28" s="85"/>
    </row>
    <row r="29" spans="2:13" x14ac:dyDescent="0.25">
      <c r="F29" s="92"/>
      <c r="G29" s="86" t="s">
        <v>73</v>
      </c>
      <c r="H29" s="89">
        <f>H27/2</f>
        <v>3185.0999999999995</v>
      </c>
      <c r="I29" s="89"/>
      <c r="J29" s="89"/>
      <c r="K29" s="89">
        <f>H29</f>
        <v>3185.0999999999995</v>
      </c>
      <c r="L29" s="85"/>
      <c r="M29" s="85"/>
    </row>
    <row r="30" spans="2:13" s="80" customFormat="1" ht="26.4" x14ac:dyDescent="0.25">
      <c r="C30" s="81"/>
      <c r="F30" s="99">
        <f>F27-F29</f>
        <v>7715.0999999999995</v>
      </c>
      <c r="G30" s="86" t="s">
        <v>57</v>
      </c>
      <c r="H30" s="90">
        <f>H27-H29</f>
        <v>3185.0999999999995</v>
      </c>
      <c r="I30" s="90">
        <f>I27-I29</f>
        <v>1344.9000000000005</v>
      </c>
      <c r="J30" s="90">
        <f>I30/2</f>
        <v>672.45000000000027</v>
      </c>
      <c r="K30" s="90">
        <f>H30+J30</f>
        <v>3857.5499999999997</v>
      </c>
      <c r="L30" s="87"/>
      <c r="M30" s="87"/>
    </row>
    <row r="31" spans="2:13" ht="26.4" x14ac:dyDescent="0.25">
      <c r="J31" s="97" t="s">
        <v>70</v>
      </c>
      <c r="K31" s="98">
        <f>SUM(K29:K30)</f>
        <v>7042.65</v>
      </c>
      <c r="L31" s="85"/>
      <c r="M31" s="85"/>
    </row>
    <row r="32" spans="2:13" x14ac:dyDescent="0.25">
      <c r="G32" s="88"/>
      <c r="J32" s="85"/>
      <c r="K32" s="96"/>
      <c r="L32" s="85"/>
      <c r="M32" s="85"/>
    </row>
  </sheetData>
  <mergeCells count="2">
    <mergeCell ref="B2:F2"/>
    <mergeCell ref="G28:H28"/>
  </mergeCells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39"/>
  <sheetViews>
    <sheetView showGridLines="0" topLeftCell="A7" zoomScale="120" zoomScaleNormal="120" workbookViewId="0">
      <selection activeCell="H35" sqref="H35"/>
    </sheetView>
  </sheetViews>
  <sheetFormatPr defaultColWidth="17.33203125" defaultRowHeight="15.75" customHeight="1" x14ac:dyDescent="0.25"/>
  <cols>
    <col min="1" max="1" width="37.109375" customWidth="1"/>
    <col min="2" max="2" width="12.109375" customWidth="1"/>
    <col min="3" max="3" width="5.88671875" customWidth="1"/>
    <col min="4" max="7" width="7.109375" bestFit="1" customWidth="1"/>
  </cols>
  <sheetData>
    <row r="1" spans="1:7" ht="14.25" customHeight="1" x14ac:dyDescent="0.25">
      <c r="A1" s="2" t="s">
        <v>0</v>
      </c>
      <c r="B1" s="1"/>
      <c r="C1" s="1"/>
      <c r="D1" s="1"/>
      <c r="E1" s="1"/>
      <c r="F1" s="1"/>
      <c r="G1" s="1"/>
    </row>
    <row r="2" spans="1:7" ht="14.25" customHeight="1" x14ac:dyDescent="0.25">
      <c r="A2" s="3" t="s">
        <v>1</v>
      </c>
      <c r="B2" s="128" t="s">
        <v>78</v>
      </c>
      <c r="C2" s="129"/>
      <c r="D2" s="129"/>
    </row>
    <row r="3" spans="1:7" ht="14.25" customHeight="1" x14ac:dyDescent="0.25">
      <c r="A3" s="4" t="s">
        <v>2</v>
      </c>
      <c r="B3" s="100" t="s">
        <v>81</v>
      </c>
    </row>
    <row r="4" spans="1:7" ht="14.25" customHeight="1" x14ac:dyDescent="0.25">
      <c r="A4" s="4" t="s">
        <v>3</v>
      </c>
      <c r="B4" s="130" t="s">
        <v>25</v>
      </c>
      <c r="C4" s="126"/>
      <c r="D4" s="126"/>
    </row>
    <row r="5" spans="1:7" ht="14.25" customHeight="1" x14ac:dyDescent="0.25"/>
    <row r="6" spans="1:7" ht="14.25" customHeight="1" x14ac:dyDescent="0.25">
      <c r="A6" s="5" t="s">
        <v>4</v>
      </c>
      <c r="B6" s="6"/>
      <c r="C6" s="7"/>
      <c r="D6" s="7"/>
      <c r="E6" s="7"/>
      <c r="F6" s="7"/>
      <c r="G6" s="7"/>
    </row>
    <row r="7" spans="1:7" ht="14.25" customHeight="1" x14ac:dyDescent="0.25">
      <c r="A7" s="8"/>
      <c r="B7" s="9"/>
      <c r="C7" s="127"/>
      <c r="D7" s="126"/>
    </row>
    <row r="8" spans="1:7" ht="14.25" customHeight="1" x14ac:dyDescent="0.25">
      <c r="A8" s="10" t="s">
        <v>69</v>
      </c>
      <c r="B8" s="112">
        <f>FunctionalitiesBreakdown!E27</f>
        <v>162</v>
      </c>
      <c r="C8" s="127"/>
      <c r="D8" s="126"/>
    </row>
    <row r="9" spans="1:7" ht="14.25" customHeight="1" x14ac:dyDescent="0.25">
      <c r="A9" s="10" t="s">
        <v>35</v>
      </c>
      <c r="B9" s="7" t="s">
        <v>80</v>
      </c>
      <c r="C9" s="127" t="s">
        <v>5</v>
      </c>
      <c r="D9" s="126"/>
    </row>
    <row r="10" spans="1:7" ht="14.25" customHeight="1" x14ac:dyDescent="0.25">
      <c r="A10" s="7"/>
      <c r="B10" s="7"/>
      <c r="C10" s="7"/>
      <c r="D10" s="7"/>
      <c r="E10" s="7"/>
      <c r="F10" s="7"/>
      <c r="G10" s="7"/>
    </row>
    <row r="11" spans="1:7" ht="14.25" customHeight="1" x14ac:dyDescent="0.25">
      <c r="A11" s="5" t="s">
        <v>6</v>
      </c>
      <c r="B11" s="11"/>
      <c r="C11" s="131" t="s">
        <v>7</v>
      </c>
      <c r="D11" s="131"/>
    </row>
    <row r="12" spans="1:7" ht="14.25" customHeight="1" x14ac:dyDescent="0.25">
      <c r="A12" s="12" t="s">
        <v>8</v>
      </c>
      <c r="B12" s="13" t="s">
        <v>9</v>
      </c>
      <c r="C12" s="14" t="s">
        <v>10</v>
      </c>
      <c r="D12" s="14" t="s">
        <v>11</v>
      </c>
      <c r="E12" s="14" t="s">
        <v>82</v>
      </c>
      <c r="F12" s="14" t="s">
        <v>83</v>
      </c>
      <c r="G12" s="14" t="s">
        <v>84</v>
      </c>
    </row>
    <row r="13" spans="1:7" ht="13.2" x14ac:dyDescent="0.25">
      <c r="A13" s="10" t="s">
        <v>30</v>
      </c>
      <c r="B13" s="15">
        <v>0.1</v>
      </c>
      <c r="C13" s="16" t="s">
        <v>12</v>
      </c>
      <c r="D13" s="17" t="s">
        <v>12</v>
      </c>
      <c r="E13" s="17" t="s">
        <v>12</v>
      </c>
      <c r="F13" s="17" t="s">
        <v>12</v>
      </c>
      <c r="G13" s="17" t="s">
        <v>12</v>
      </c>
    </row>
    <row r="14" spans="1:7" ht="14.25" customHeight="1" x14ac:dyDescent="0.25">
      <c r="A14" s="10" t="s">
        <v>13</v>
      </c>
      <c r="B14" s="15">
        <v>0.05</v>
      </c>
      <c r="C14" s="18" t="s">
        <v>12</v>
      </c>
      <c r="D14" s="18" t="s">
        <v>12</v>
      </c>
      <c r="E14" s="18" t="s">
        <v>12</v>
      </c>
      <c r="F14" s="18" t="s">
        <v>12</v>
      </c>
      <c r="G14" s="18" t="s">
        <v>12</v>
      </c>
    </row>
    <row r="15" spans="1:7" ht="14.25" customHeight="1" x14ac:dyDescent="0.25">
      <c r="A15" s="10" t="s">
        <v>14</v>
      </c>
      <c r="B15" s="15">
        <v>0.1</v>
      </c>
      <c r="C15" s="18" t="s">
        <v>12</v>
      </c>
      <c r="D15" s="18" t="s">
        <v>12</v>
      </c>
      <c r="E15" s="18" t="s">
        <v>12</v>
      </c>
      <c r="F15" s="18" t="s">
        <v>12</v>
      </c>
      <c r="G15" s="18" t="s">
        <v>12</v>
      </c>
    </row>
    <row r="16" spans="1:7" ht="15" customHeight="1" x14ac:dyDescent="0.25">
      <c r="A16" s="10" t="s">
        <v>29</v>
      </c>
      <c r="B16" s="15">
        <v>0.1</v>
      </c>
      <c r="C16" s="18"/>
      <c r="D16" s="18"/>
      <c r="E16" s="18"/>
      <c r="F16" s="18" t="s">
        <v>12</v>
      </c>
      <c r="G16" s="18" t="s">
        <v>12</v>
      </c>
    </row>
    <row r="17" spans="1:7" ht="14.25" customHeight="1" x14ac:dyDescent="0.25">
      <c r="A17" s="10" t="s">
        <v>15</v>
      </c>
      <c r="B17" s="15">
        <v>1</v>
      </c>
      <c r="C17" s="18" t="s">
        <v>12</v>
      </c>
      <c r="D17" s="18" t="s">
        <v>12</v>
      </c>
      <c r="E17" s="18" t="s">
        <v>12</v>
      </c>
      <c r="F17" s="18" t="s">
        <v>12</v>
      </c>
      <c r="G17" s="18" t="s">
        <v>12</v>
      </c>
    </row>
    <row r="18" spans="1:7" ht="14.25" customHeight="1" x14ac:dyDescent="0.25">
      <c r="A18" s="10" t="s">
        <v>16</v>
      </c>
      <c r="B18" s="15">
        <v>0.15</v>
      </c>
      <c r="C18" s="19"/>
      <c r="D18" s="19"/>
      <c r="E18" s="19" t="s">
        <v>12</v>
      </c>
      <c r="F18" s="19" t="s">
        <v>12</v>
      </c>
      <c r="G18" s="19" t="s">
        <v>12</v>
      </c>
    </row>
    <row r="19" spans="1:7" ht="14.25" customHeight="1" x14ac:dyDescent="0.25">
      <c r="A19" s="10" t="s">
        <v>17</v>
      </c>
      <c r="B19" s="15">
        <v>0.1</v>
      </c>
      <c r="C19" s="19"/>
      <c r="D19" s="19"/>
      <c r="E19" s="19"/>
      <c r="F19" s="19" t="s">
        <v>12</v>
      </c>
      <c r="G19" s="19" t="s">
        <v>12</v>
      </c>
    </row>
    <row r="20" spans="1:7" ht="14.25" customHeight="1" x14ac:dyDescent="0.25">
      <c r="A20" s="10" t="s">
        <v>18</v>
      </c>
      <c r="B20" s="15">
        <v>0.1</v>
      </c>
      <c r="C20" s="20" t="s">
        <v>12</v>
      </c>
      <c r="D20" s="20" t="s">
        <v>12</v>
      </c>
      <c r="E20" s="20" t="s">
        <v>12</v>
      </c>
      <c r="F20" s="20" t="s">
        <v>12</v>
      </c>
      <c r="G20" s="20" t="s">
        <v>12</v>
      </c>
    </row>
    <row r="21" spans="1:7" ht="14.25" customHeight="1" x14ac:dyDescent="0.25">
      <c r="A21" s="21"/>
      <c r="B21" s="22"/>
      <c r="C21" s="23"/>
      <c r="D21" s="23"/>
      <c r="E21" s="23"/>
      <c r="F21" s="23"/>
      <c r="G21" s="23"/>
    </row>
    <row r="22" spans="1:7" ht="14.25" customHeight="1" x14ac:dyDescent="0.25">
      <c r="A22" s="5" t="s">
        <v>19</v>
      </c>
      <c r="B22" s="24"/>
      <c r="C22" s="25"/>
      <c r="D22" s="25"/>
      <c r="E22" s="25"/>
      <c r="F22" s="25"/>
      <c r="G22" s="25"/>
    </row>
    <row r="23" spans="1:7" ht="14.25" customHeight="1" x14ac:dyDescent="0.25">
      <c r="A23" s="26" t="s">
        <v>20</v>
      </c>
      <c r="B23" s="27" t="s">
        <v>21</v>
      </c>
      <c r="C23" s="28"/>
      <c r="D23" s="28"/>
      <c r="E23" s="28"/>
      <c r="F23" s="28"/>
      <c r="G23" s="28"/>
    </row>
    <row r="24" spans="1:7" ht="14.25" customHeight="1" x14ac:dyDescent="0.25">
      <c r="A24" s="10" t="s">
        <v>26</v>
      </c>
      <c r="B24" s="7">
        <v>1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</row>
    <row r="25" spans="1:7" ht="14.25" customHeight="1" x14ac:dyDescent="0.25">
      <c r="A25" s="10" t="s">
        <v>36</v>
      </c>
      <c r="B25" s="7">
        <v>2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</row>
    <row r="26" spans="1:7" ht="14.25" customHeight="1" x14ac:dyDescent="0.25">
      <c r="A26" s="10" t="s">
        <v>79</v>
      </c>
      <c r="B26" s="7">
        <v>1</v>
      </c>
      <c r="C26" s="29"/>
      <c r="D26" s="29"/>
      <c r="E26" s="29"/>
      <c r="F26" s="29"/>
      <c r="G26" s="29"/>
    </row>
    <row r="27" spans="1:7" ht="13.2" x14ac:dyDescent="0.25">
      <c r="A27" s="10" t="s">
        <v>22</v>
      </c>
      <c r="B27" s="7">
        <v>1</v>
      </c>
      <c r="C27" s="29"/>
      <c r="D27" s="29">
        <v>1</v>
      </c>
      <c r="E27" s="29">
        <v>1</v>
      </c>
      <c r="F27" s="29">
        <v>1</v>
      </c>
      <c r="G27" s="29">
        <v>1</v>
      </c>
    </row>
    <row r="28" spans="1:7" ht="14.25" customHeight="1" x14ac:dyDescent="0.25">
      <c r="A28" s="10" t="s">
        <v>27</v>
      </c>
      <c r="B28" s="7">
        <v>1</v>
      </c>
      <c r="C28" s="29"/>
      <c r="D28" s="29">
        <v>0.05</v>
      </c>
      <c r="E28" s="29">
        <v>0.05</v>
      </c>
      <c r="F28" s="29">
        <v>0.05</v>
      </c>
      <c r="G28" s="29">
        <v>0.05</v>
      </c>
    </row>
    <row r="29" spans="1:7" ht="14.25" customHeight="1" x14ac:dyDescent="0.25">
      <c r="A29" s="10" t="s">
        <v>23</v>
      </c>
      <c r="B29" s="7">
        <v>1</v>
      </c>
      <c r="C29" s="29">
        <v>0.1</v>
      </c>
      <c r="D29" s="29">
        <v>0.1</v>
      </c>
      <c r="E29" s="29">
        <v>0.1</v>
      </c>
      <c r="F29" s="29">
        <v>0.1</v>
      </c>
      <c r="G29" s="29">
        <v>0.1</v>
      </c>
    </row>
    <row r="30" spans="1:7" ht="14.25" customHeight="1" x14ac:dyDescent="0.25">
      <c r="A30" s="7"/>
      <c r="B30" s="9">
        <f t="shared" ref="B30" si="0">SUM(B24:B29)</f>
        <v>7</v>
      </c>
      <c r="C30" s="30"/>
      <c r="D30" s="30"/>
      <c r="E30" s="30"/>
      <c r="F30" s="30"/>
      <c r="G30" s="30"/>
    </row>
    <row r="31" spans="1:7" ht="14.25" customHeight="1" x14ac:dyDescent="0.25">
      <c r="A31" s="7"/>
      <c r="B31" s="7"/>
      <c r="C31" s="7"/>
      <c r="D31" s="7"/>
      <c r="E31" s="7"/>
      <c r="F31" s="7"/>
      <c r="G31" s="7"/>
    </row>
    <row r="32" spans="1:7" ht="14.25" customHeight="1" x14ac:dyDescent="0.25">
      <c r="A32" s="7"/>
      <c r="B32" s="7"/>
      <c r="C32" s="7"/>
      <c r="D32" s="7"/>
      <c r="E32" s="7"/>
      <c r="F32" s="7"/>
      <c r="G32" s="7"/>
    </row>
    <row r="33" spans="1:7" ht="14.25" customHeight="1" x14ac:dyDescent="0.25">
      <c r="A33" s="5" t="s">
        <v>24</v>
      </c>
      <c r="B33" s="11"/>
      <c r="C33" s="24"/>
      <c r="D33" s="24"/>
      <c r="E33" s="24"/>
      <c r="F33" s="24"/>
      <c r="G33" s="24"/>
    </row>
    <row r="34" spans="1:7" ht="13.2" x14ac:dyDescent="0.25">
      <c r="A34" s="125"/>
      <c r="B34" s="126"/>
      <c r="C34" s="126"/>
      <c r="D34" s="126"/>
    </row>
    <row r="35" spans="1:7" ht="13.2" x14ac:dyDescent="0.25">
      <c r="A35" s="125"/>
      <c r="B35" s="126"/>
      <c r="C35" s="126"/>
      <c r="D35" s="126"/>
    </row>
    <row r="36" spans="1:7" ht="13.2" x14ac:dyDescent="0.25">
      <c r="A36" s="125"/>
      <c r="B36" s="126"/>
      <c r="C36" s="126"/>
      <c r="D36" s="126"/>
    </row>
    <row r="37" spans="1:7" ht="13.2" x14ac:dyDescent="0.25">
      <c r="A37" s="125"/>
      <c r="B37" s="126"/>
      <c r="C37" s="126"/>
      <c r="D37" s="126"/>
    </row>
    <row r="39" spans="1:7" ht="15.75" customHeight="1" x14ac:dyDescent="0.25">
      <c r="D39" s="31"/>
      <c r="E39" s="31"/>
      <c r="F39" s="31"/>
      <c r="G39" s="31"/>
    </row>
  </sheetData>
  <mergeCells count="10">
    <mergeCell ref="A35:D35"/>
    <mergeCell ref="A36:D36"/>
    <mergeCell ref="A37:D37"/>
    <mergeCell ref="C7:D7"/>
    <mergeCell ref="B2:D2"/>
    <mergeCell ref="B4:D4"/>
    <mergeCell ref="C8:D8"/>
    <mergeCell ref="C9:D9"/>
    <mergeCell ref="A34:D34"/>
    <mergeCell ref="C11:D11"/>
  </mergeCells>
  <conditionalFormatting sqref="C13:D20">
    <cfRule type="containsText" dxfId="7" priority="25" operator="containsText" text="x">
      <formula>NOT(ISERROR(SEARCH(("x"),(C13))))</formula>
    </cfRule>
  </conditionalFormatting>
  <conditionalFormatting sqref="C24:D29">
    <cfRule type="cellIs" dxfId="6" priority="24" operator="greaterThan">
      <formula>0</formula>
    </cfRule>
  </conditionalFormatting>
  <conditionalFormatting sqref="E13:E20">
    <cfRule type="containsText" dxfId="5" priority="6" operator="containsText" text="x">
      <formula>NOT(ISERROR(SEARCH(("x"),(E13))))</formula>
    </cfRule>
  </conditionalFormatting>
  <conditionalFormatting sqref="E24:E29">
    <cfRule type="cellIs" dxfId="4" priority="5" operator="greaterThan">
      <formula>0</formula>
    </cfRule>
  </conditionalFormatting>
  <conditionalFormatting sqref="F13:F20">
    <cfRule type="containsText" dxfId="3" priority="4" operator="containsText" text="x">
      <formula>NOT(ISERROR(SEARCH(("x"),(F13))))</formula>
    </cfRule>
  </conditionalFormatting>
  <conditionalFormatting sqref="F24:F29">
    <cfRule type="cellIs" dxfId="2" priority="3" operator="greaterThan">
      <formula>0</formula>
    </cfRule>
  </conditionalFormatting>
  <conditionalFormatting sqref="G13:G20">
    <cfRule type="containsText" dxfId="1" priority="2" operator="containsText" text="x">
      <formula>NOT(ISERROR(SEARCH(("x"),(G13))))</formula>
    </cfRule>
  </conditionalFormatting>
  <conditionalFormatting sqref="G24:G29">
    <cfRule type="cellIs" dxfId="0" priority="1" operator="greaterThan">
      <formula>0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0443-7091-4441-AADE-A86BF4CBFDB9}">
  <dimension ref="A1:F20"/>
  <sheetViews>
    <sheetView workbookViewId="0">
      <selection activeCell="J6" sqref="J6"/>
    </sheetView>
  </sheetViews>
  <sheetFormatPr defaultColWidth="8.88671875" defaultRowHeight="13.2" x14ac:dyDescent="0.25"/>
  <cols>
    <col min="2" max="2" width="31.88671875" bestFit="1" customWidth="1"/>
    <col min="3" max="3" width="14.33203125" customWidth="1"/>
    <col min="5" max="5" width="14.21875" bestFit="1" customWidth="1"/>
    <col min="6" max="6" width="12.44140625" bestFit="1" customWidth="1"/>
    <col min="13" max="13" width="11" bestFit="1" customWidth="1"/>
  </cols>
  <sheetData>
    <row r="1" spans="1:5" ht="24" customHeight="1" x14ac:dyDescent="0.25">
      <c r="A1" s="33" t="s">
        <v>58</v>
      </c>
      <c r="B1" s="33" t="s">
        <v>28</v>
      </c>
      <c r="C1" s="33" t="s">
        <v>59</v>
      </c>
      <c r="D1" s="33" t="s">
        <v>31</v>
      </c>
      <c r="E1" s="33" t="s">
        <v>32</v>
      </c>
    </row>
    <row r="2" spans="1:5" x14ac:dyDescent="0.25">
      <c r="A2" s="32">
        <v>1</v>
      </c>
      <c r="B2" s="32" t="s">
        <v>66</v>
      </c>
      <c r="C2" s="76">
        <f>FunctionalitiesBreakdown!E27</f>
        <v>162</v>
      </c>
      <c r="D2" s="34">
        <v>22</v>
      </c>
      <c r="E2" s="34">
        <f>C2*D2</f>
        <v>3564</v>
      </c>
    </row>
    <row r="3" spans="1:5" x14ac:dyDescent="0.25">
      <c r="A3" s="32">
        <v>3</v>
      </c>
      <c r="B3" s="32" t="str">
        <f>Estimate!A14</f>
        <v>UI/UX design</v>
      </c>
      <c r="C3" s="76">
        <f>Estimate!B14*'CostOf Wok'!C2</f>
        <v>8.1</v>
      </c>
      <c r="D3" s="34">
        <v>22</v>
      </c>
      <c r="E3" s="34">
        <f t="shared" ref="E3:E5" si="0">C3*D3</f>
        <v>178.2</v>
      </c>
    </row>
    <row r="4" spans="1:5" x14ac:dyDescent="0.25">
      <c r="A4" s="32">
        <v>4</v>
      </c>
      <c r="B4" s="32" t="str">
        <f>Estimate!A15</f>
        <v>Architecture &amp; detailed design</v>
      </c>
      <c r="C4" s="76">
        <f>Estimate!B15*'CostOf Wok'!C2</f>
        <v>16.2</v>
      </c>
      <c r="D4" s="34">
        <v>22</v>
      </c>
      <c r="E4" s="34">
        <f t="shared" si="0"/>
        <v>356.4</v>
      </c>
    </row>
    <row r="5" spans="1:5" x14ac:dyDescent="0.25">
      <c r="A5" s="32">
        <v>5</v>
      </c>
      <c r="B5" s="32" t="str">
        <f>Estimate!A13</f>
        <v xml:space="preserve">Requirements analysis </v>
      </c>
      <c r="C5" s="76">
        <f>C2*Estimate!B13</f>
        <v>16.2</v>
      </c>
      <c r="D5" s="34">
        <v>22</v>
      </c>
      <c r="E5" s="34">
        <f t="shared" si="0"/>
        <v>356.4</v>
      </c>
    </row>
    <row r="6" spans="1:5" x14ac:dyDescent="0.25">
      <c r="A6" s="32">
        <v>6</v>
      </c>
      <c r="B6" s="32" t="s">
        <v>16</v>
      </c>
      <c r="C6" s="76">
        <f>C2*Estimate!B18</f>
        <v>24.3</v>
      </c>
      <c r="D6" s="34">
        <v>20</v>
      </c>
      <c r="E6" s="34">
        <f t="shared" ref="E6:E9" si="1">C6*D6</f>
        <v>486</v>
      </c>
    </row>
    <row r="7" spans="1:5" x14ac:dyDescent="0.25">
      <c r="A7" s="32">
        <v>7</v>
      </c>
      <c r="B7" s="32" t="s">
        <v>60</v>
      </c>
      <c r="C7" s="76">
        <f>C2*Estimate!B20</f>
        <v>16.2</v>
      </c>
      <c r="D7" s="34">
        <v>25</v>
      </c>
      <c r="E7" s="34">
        <f t="shared" si="1"/>
        <v>405</v>
      </c>
    </row>
    <row r="8" spans="1:5" x14ac:dyDescent="0.25">
      <c r="A8" s="32">
        <v>8</v>
      </c>
      <c r="B8" s="32" t="s">
        <v>61</v>
      </c>
      <c r="C8" s="76">
        <f>C2*Estimate!B16</f>
        <v>16.2</v>
      </c>
      <c r="D8" s="34">
        <v>24</v>
      </c>
      <c r="E8" s="34">
        <f t="shared" si="1"/>
        <v>388.79999999999995</v>
      </c>
    </row>
    <row r="9" spans="1:5" x14ac:dyDescent="0.25">
      <c r="A9" s="32">
        <v>9</v>
      </c>
      <c r="B9" s="32" t="str">
        <f>Estimate!A19</f>
        <v>Transition &amp; acceptance</v>
      </c>
      <c r="C9" s="76">
        <f>C2*Estimate!B19</f>
        <v>16.2</v>
      </c>
      <c r="D9" s="34">
        <v>22</v>
      </c>
      <c r="E9" s="34">
        <f t="shared" si="1"/>
        <v>356.4</v>
      </c>
    </row>
    <row r="10" spans="1:5" x14ac:dyDescent="0.25">
      <c r="A10" s="132" t="s">
        <v>32</v>
      </c>
      <c r="B10" s="132"/>
      <c r="C10" s="77">
        <f>SUM(C2:C9)</f>
        <v>275.39999999999998</v>
      </c>
      <c r="D10" s="33"/>
      <c r="E10" s="78">
        <f>SUM(E2:E9)</f>
        <v>6091.1999999999989</v>
      </c>
    </row>
    <row r="11" spans="1:5" x14ac:dyDescent="0.25">
      <c r="A11" s="32"/>
      <c r="B11" s="33" t="s">
        <v>62</v>
      </c>
      <c r="C11">
        <v>3</v>
      </c>
      <c r="D11" s="34">
        <v>93</v>
      </c>
      <c r="E11" s="34">
        <f>C11*D11</f>
        <v>279</v>
      </c>
    </row>
    <row r="12" spans="1:5" ht="26.25" customHeight="1" x14ac:dyDescent="0.3">
      <c r="A12" s="133" t="s">
        <v>63</v>
      </c>
      <c r="B12" s="133"/>
      <c r="C12" s="133"/>
      <c r="D12" s="133"/>
      <c r="E12" s="79">
        <f>E10+E11</f>
        <v>6370.1999999999989</v>
      </c>
    </row>
    <row r="14" spans="1:5" x14ac:dyDescent="0.25">
      <c r="E14" s="82"/>
    </row>
    <row r="15" spans="1:5" x14ac:dyDescent="0.25">
      <c r="B15" s="94"/>
      <c r="C15" s="94"/>
      <c r="D15" s="95"/>
      <c r="E15" s="95"/>
    </row>
    <row r="17" spans="5:6" x14ac:dyDescent="0.25">
      <c r="E17" s="82"/>
    </row>
    <row r="20" spans="5:6" x14ac:dyDescent="0.25">
      <c r="F20" s="82"/>
    </row>
  </sheetData>
  <mergeCells count="2">
    <mergeCell ref="A10:B10"/>
    <mergeCell ref="A12:D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X67"/>
  <sheetViews>
    <sheetView showGridLines="0" tabSelected="1" topLeftCell="A10" zoomScale="90" zoomScaleNormal="90" workbookViewId="0">
      <selection activeCell="C23" sqref="C23"/>
    </sheetView>
  </sheetViews>
  <sheetFormatPr defaultColWidth="17.33203125" defaultRowHeight="15.75" customHeight="1" x14ac:dyDescent="0.25"/>
  <cols>
    <col min="1" max="1" width="7.109375" style="117" customWidth="1"/>
    <col min="2" max="2" width="18.21875" style="114" customWidth="1"/>
    <col min="3" max="3" width="47.33203125" style="36" customWidth="1"/>
    <col min="4" max="4" width="96.5546875" customWidth="1"/>
    <col min="5" max="5" width="18.88671875" style="35" customWidth="1"/>
    <col min="6" max="6" width="61.6640625" style="32" customWidth="1"/>
  </cols>
  <sheetData>
    <row r="1" spans="1:102" ht="27" customHeight="1" x14ac:dyDescent="0.3">
      <c r="A1" s="134" t="s">
        <v>87</v>
      </c>
      <c r="B1" s="135"/>
      <c r="C1" s="135"/>
      <c r="D1" s="135"/>
      <c r="E1" s="135"/>
      <c r="F1" s="135"/>
    </row>
    <row r="2" spans="1:102" s="111" customFormat="1" ht="40.799999999999997" customHeight="1" x14ac:dyDescent="0.3">
      <c r="A2" s="115" t="s">
        <v>33</v>
      </c>
      <c r="B2" s="109" t="s">
        <v>75</v>
      </c>
      <c r="C2" s="109" t="s">
        <v>28</v>
      </c>
      <c r="D2" s="109" t="s">
        <v>76</v>
      </c>
      <c r="E2" s="109" t="s">
        <v>77</v>
      </c>
      <c r="F2" s="109" t="s">
        <v>74</v>
      </c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J2" s="110"/>
      <c r="BK2" s="110"/>
      <c r="BL2" s="110"/>
      <c r="BM2" s="110"/>
      <c r="BN2" s="110"/>
      <c r="BO2" s="110"/>
      <c r="BP2" s="110"/>
      <c r="BQ2" s="110"/>
      <c r="BR2" s="110"/>
      <c r="BS2" s="110"/>
      <c r="BT2" s="110"/>
      <c r="BU2" s="110"/>
      <c r="BV2" s="110"/>
      <c r="BW2" s="110"/>
      <c r="BX2" s="110"/>
      <c r="BY2" s="110"/>
      <c r="BZ2" s="110"/>
      <c r="CA2" s="110"/>
      <c r="CB2" s="110"/>
      <c r="CC2" s="110"/>
      <c r="CD2" s="110"/>
      <c r="CE2" s="110"/>
      <c r="CF2" s="110"/>
      <c r="CG2" s="110"/>
      <c r="CH2" s="110"/>
      <c r="CI2" s="110"/>
      <c r="CJ2" s="110"/>
      <c r="CK2" s="110"/>
      <c r="CL2" s="110"/>
      <c r="CM2" s="110"/>
      <c r="CN2" s="110"/>
      <c r="CO2" s="110"/>
      <c r="CP2" s="110"/>
      <c r="CQ2" s="110"/>
      <c r="CR2" s="110"/>
      <c r="CS2" s="110"/>
      <c r="CT2" s="110"/>
      <c r="CU2" s="110"/>
      <c r="CV2" s="110"/>
      <c r="CW2" s="110"/>
      <c r="CX2" s="110"/>
    </row>
    <row r="3" spans="1:102" s="102" customFormat="1" ht="75" x14ac:dyDescent="0.25">
      <c r="A3" s="139">
        <v>1</v>
      </c>
      <c r="B3" s="139" t="s">
        <v>85</v>
      </c>
      <c r="C3" s="142" t="s">
        <v>86</v>
      </c>
      <c r="D3" s="105" t="s">
        <v>88</v>
      </c>
      <c r="E3" s="104">
        <v>4</v>
      </c>
      <c r="F3" s="103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</row>
    <row r="4" spans="1:102" s="102" customFormat="1" ht="45" x14ac:dyDescent="0.25">
      <c r="A4" s="140"/>
      <c r="B4" s="140"/>
      <c r="C4" s="143"/>
      <c r="D4" s="105" t="s">
        <v>89</v>
      </c>
      <c r="E4" s="104">
        <v>2</v>
      </c>
      <c r="F4" s="103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</row>
    <row r="5" spans="1:102" s="102" customFormat="1" ht="15" x14ac:dyDescent="0.25">
      <c r="A5" s="140"/>
      <c r="B5" s="140"/>
      <c r="C5" s="143"/>
      <c r="D5" s="105" t="s">
        <v>90</v>
      </c>
      <c r="E5" s="104">
        <v>4</v>
      </c>
      <c r="F5" s="103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106"/>
      <c r="CT5" s="106"/>
      <c r="CU5" s="106"/>
      <c r="CV5" s="106"/>
      <c r="CW5" s="106"/>
      <c r="CX5" s="106"/>
    </row>
    <row r="6" spans="1:102" s="102" customFormat="1" ht="15" x14ac:dyDescent="0.25">
      <c r="A6" s="141"/>
      <c r="B6" s="141"/>
      <c r="C6" s="144"/>
      <c r="D6" s="105" t="s">
        <v>91</v>
      </c>
      <c r="E6" s="104">
        <v>2</v>
      </c>
      <c r="F6" s="103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6"/>
      <c r="CW6" s="106"/>
      <c r="CX6" s="106"/>
    </row>
    <row r="7" spans="1:102" s="102" customFormat="1" ht="30" x14ac:dyDescent="0.25">
      <c r="A7" s="139">
        <v>2</v>
      </c>
      <c r="B7" s="139" t="s">
        <v>92</v>
      </c>
      <c r="C7" s="142" t="s">
        <v>93</v>
      </c>
      <c r="D7" s="105" t="s">
        <v>94</v>
      </c>
      <c r="E7" s="104">
        <v>4</v>
      </c>
      <c r="F7" s="103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  <c r="CU7" s="106"/>
      <c r="CV7" s="106"/>
      <c r="CW7" s="106"/>
      <c r="CX7" s="106"/>
    </row>
    <row r="8" spans="1:102" s="102" customFormat="1" ht="15" x14ac:dyDescent="0.25">
      <c r="A8" s="140"/>
      <c r="B8" s="140"/>
      <c r="C8" s="143"/>
      <c r="D8" s="105" t="s">
        <v>95</v>
      </c>
      <c r="E8" s="104">
        <v>8</v>
      </c>
      <c r="F8" s="103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</row>
    <row r="9" spans="1:102" s="102" customFormat="1" ht="15" x14ac:dyDescent="0.25">
      <c r="A9" s="141"/>
      <c r="B9" s="141"/>
      <c r="C9" s="144"/>
      <c r="D9" s="105" t="s">
        <v>96</v>
      </c>
      <c r="E9" s="104">
        <v>8</v>
      </c>
      <c r="F9" s="103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/>
      <c r="CT9" s="106"/>
      <c r="CU9" s="106"/>
      <c r="CV9" s="106"/>
      <c r="CW9" s="106"/>
      <c r="CX9" s="106"/>
    </row>
    <row r="10" spans="1:102" s="102" customFormat="1" ht="105" x14ac:dyDescent="0.25">
      <c r="A10" s="120">
        <v>3</v>
      </c>
      <c r="B10" s="120" t="s">
        <v>97</v>
      </c>
      <c r="C10" s="118" t="s">
        <v>98</v>
      </c>
      <c r="D10" s="105" t="s">
        <v>99</v>
      </c>
      <c r="E10" s="104">
        <v>3.5</v>
      </c>
      <c r="F10" s="103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/>
      <c r="CT10" s="106"/>
      <c r="CU10" s="106"/>
      <c r="CV10" s="106"/>
      <c r="CW10" s="106"/>
      <c r="CX10" s="106"/>
    </row>
    <row r="11" spans="1:102" s="102" customFormat="1" ht="15" x14ac:dyDescent="0.25">
      <c r="A11" s="139">
        <v>4</v>
      </c>
      <c r="B11" s="139" t="s">
        <v>100</v>
      </c>
      <c r="C11" s="142" t="s">
        <v>101</v>
      </c>
      <c r="D11" s="105" t="s">
        <v>102</v>
      </c>
      <c r="E11" s="104">
        <v>0.5</v>
      </c>
      <c r="F11" s="103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  <c r="CU11" s="106"/>
      <c r="CV11" s="106"/>
      <c r="CW11" s="106"/>
      <c r="CX11" s="106"/>
    </row>
    <row r="12" spans="1:102" s="102" customFormat="1" ht="15" x14ac:dyDescent="0.25">
      <c r="A12" s="140"/>
      <c r="B12" s="140"/>
      <c r="C12" s="143"/>
      <c r="D12" s="105" t="s">
        <v>103</v>
      </c>
      <c r="E12" s="104">
        <v>2</v>
      </c>
      <c r="F12" s="103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6"/>
      <c r="CM12" s="106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</row>
    <row r="13" spans="1:102" s="102" customFormat="1" ht="15" x14ac:dyDescent="0.25">
      <c r="A13" s="140"/>
      <c r="B13" s="140"/>
      <c r="C13" s="143"/>
      <c r="D13" s="105" t="s">
        <v>104</v>
      </c>
      <c r="E13" s="104">
        <v>2</v>
      </c>
      <c r="F13" s="103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6"/>
      <c r="CM13" s="106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</row>
    <row r="14" spans="1:102" s="102" customFormat="1" ht="120.6" x14ac:dyDescent="0.25">
      <c r="A14" s="140"/>
      <c r="B14" s="140"/>
      <c r="C14" s="143"/>
      <c r="D14" s="105" t="s">
        <v>105</v>
      </c>
      <c r="E14" s="104">
        <v>46</v>
      </c>
      <c r="F14" s="103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  <c r="CF14" s="106"/>
      <c r="CG14" s="106"/>
      <c r="CH14" s="106"/>
      <c r="CI14" s="106"/>
      <c r="CJ14" s="106"/>
      <c r="CK14" s="106"/>
      <c r="CL14" s="106"/>
      <c r="CM14" s="106"/>
      <c r="CN14" s="106"/>
      <c r="CO14" s="106"/>
      <c r="CP14" s="106"/>
      <c r="CQ14" s="106"/>
      <c r="CR14" s="106"/>
      <c r="CS14" s="106"/>
      <c r="CT14" s="106"/>
      <c r="CU14" s="106"/>
      <c r="CV14" s="106"/>
      <c r="CW14" s="106"/>
      <c r="CX14" s="106"/>
    </row>
    <row r="15" spans="1:102" s="102" customFormat="1" ht="15" x14ac:dyDescent="0.25">
      <c r="A15" s="141"/>
      <c r="B15" s="141"/>
      <c r="C15" s="144"/>
      <c r="D15" s="105" t="s">
        <v>106</v>
      </c>
      <c r="E15" s="104">
        <v>8</v>
      </c>
      <c r="F15" s="103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6"/>
    </row>
    <row r="16" spans="1:102" s="102" customFormat="1" ht="45" x14ac:dyDescent="0.25">
      <c r="A16" s="120">
        <v>5</v>
      </c>
      <c r="B16" s="120" t="s">
        <v>107</v>
      </c>
      <c r="C16" s="118" t="s">
        <v>108</v>
      </c>
      <c r="D16" s="105" t="s">
        <v>109</v>
      </c>
      <c r="E16" s="104">
        <v>4</v>
      </c>
      <c r="F16" s="103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  <c r="CI16" s="106"/>
      <c r="CJ16" s="106"/>
      <c r="CK16" s="106"/>
      <c r="CL16" s="106"/>
      <c r="CM16" s="106"/>
      <c r="CN16" s="106"/>
      <c r="CO16" s="106"/>
      <c r="CP16" s="106"/>
      <c r="CQ16" s="106"/>
      <c r="CR16" s="106"/>
      <c r="CS16" s="106"/>
      <c r="CT16" s="106"/>
      <c r="CU16" s="106"/>
      <c r="CV16" s="106"/>
      <c r="CW16" s="106"/>
      <c r="CX16" s="106"/>
    </row>
    <row r="17" spans="1:102" s="102" customFormat="1" ht="22.8" customHeight="1" x14ac:dyDescent="0.25">
      <c r="A17" s="139">
        <v>6</v>
      </c>
      <c r="B17" s="139" t="s">
        <v>110</v>
      </c>
      <c r="C17" s="142" t="s">
        <v>111</v>
      </c>
      <c r="D17" s="105" t="s">
        <v>112</v>
      </c>
      <c r="E17" s="104">
        <v>16</v>
      </c>
      <c r="F17" s="142" t="s">
        <v>117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  <c r="CF17" s="106"/>
      <c r="CG17" s="106"/>
      <c r="CH17" s="106"/>
      <c r="CI17" s="106"/>
      <c r="CJ17" s="106"/>
      <c r="CK17" s="106"/>
      <c r="CL17" s="106"/>
      <c r="CM17" s="106"/>
      <c r="CN17" s="106"/>
      <c r="CO17" s="106"/>
      <c r="CP17" s="106"/>
      <c r="CQ17" s="106"/>
      <c r="CR17" s="106"/>
      <c r="CS17" s="106"/>
      <c r="CT17" s="106"/>
      <c r="CU17" s="106"/>
      <c r="CV17" s="106"/>
      <c r="CW17" s="106"/>
      <c r="CX17" s="106"/>
    </row>
    <row r="18" spans="1:102" s="102" customFormat="1" ht="28.8" customHeight="1" x14ac:dyDescent="0.25">
      <c r="A18" s="140"/>
      <c r="B18" s="140"/>
      <c r="C18" s="143"/>
      <c r="D18" s="105" t="s">
        <v>113</v>
      </c>
      <c r="E18" s="104">
        <v>24</v>
      </c>
      <c r="F18" s="143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  <c r="CF18" s="106"/>
      <c r="CG18" s="106"/>
      <c r="CH18" s="106"/>
      <c r="CI18" s="106"/>
      <c r="CJ18" s="106"/>
      <c r="CK18" s="106"/>
      <c r="CL18" s="106"/>
      <c r="CM18" s="106"/>
      <c r="CN18" s="106"/>
      <c r="CO18" s="106"/>
      <c r="CP18" s="106"/>
      <c r="CQ18" s="106"/>
      <c r="CR18" s="106"/>
      <c r="CS18" s="106"/>
      <c r="CT18" s="106"/>
      <c r="CU18" s="106"/>
      <c r="CV18" s="106"/>
      <c r="CW18" s="106"/>
      <c r="CX18" s="106"/>
    </row>
    <row r="19" spans="1:102" s="102" customFormat="1" ht="34.799999999999997" customHeight="1" x14ac:dyDescent="0.25">
      <c r="A19" s="140"/>
      <c r="B19" s="140"/>
      <c r="C19" s="143"/>
      <c r="D19" s="105" t="s">
        <v>114</v>
      </c>
      <c r="E19" s="104">
        <v>12</v>
      </c>
      <c r="F19" s="143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  <c r="CF19" s="106"/>
      <c r="CG19" s="106"/>
      <c r="CH19" s="106"/>
      <c r="CI19" s="106"/>
      <c r="CJ19" s="106"/>
      <c r="CK19" s="106"/>
      <c r="CL19" s="106"/>
      <c r="CM19" s="106"/>
      <c r="CN19" s="106"/>
      <c r="CO19" s="106"/>
      <c r="CP19" s="106"/>
      <c r="CQ19" s="106"/>
      <c r="CR19" s="106"/>
      <c r="CS19" s="106"/>
      <c r="CT19" s="106"/>
      <c r="CU19" s="106"/>
      <c r="CV19" s="106"/>
      <c r="CW19" s="106"/>
      <c r="CX19" s="106"/>
    </row>
    <row r="20" spans="1:102" s="102" customFormat="1" ht="15" x14ac:dyDescent="0.25">
      <c r="A20" s="141"/>
      <c r="B20" s="141"/>
      <c r="C20" s="144"/>
      <c r="D20" s="105" t="s">
        <v>115</v>
      </c>
      <c r="E20" s="104">
        <v>12</v>
      </c>
      <c r="F20" s="144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  <c r="CI20" s="106"/>
      <c r="CJ20" s="106"/>
      <c r="CK20" s="106"/>
      <c r="CL20" s="106"/>
      <c r="CM20" s="106"/>
      <c r="CN20" s="106"/>
      <c r="CO20" s="106"/>
      <c r="CP20" s="106"/>
      <c r="CQ20" s="106"/>
      <c r="CR20" s="106"/>
      <c r="CS20" s="106"/>
      <c r="CT20" s="106"/>
      <c r="CU20" s="106"/>
      <c r="CV20" s="106"/>
      <c r="CW20" s="106"/>
      <c r="CX20" s="106"/>
    </row>
    <row r="21" spans="1:102" s="102" customFormat="1" ht="15" x14ac:dyDescent="0.25">
      <c r="A21" s="120">
        <v>7</v>
      </c>
      <c r="B21" s="120" t="s">
        <v>116</v>
      </c>
      <c r="C21" s="118" t="s">
        <v>118</v>
      </c>
      <c r="D21" s="105"/>
      <c r="E21" s="104"/>
      <c r="F21" s="103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6"/>
      <c r="CL21" s="106"/>
      <c r="CM21" s="106"/>
      <c r="CN21" s="106"/>
      <c r="CO21" s="106"/>
      <c r="CP21" s="106"/>
      <c r="CQ21" s="106"/>
      <c r="CR21" s="106"/>
      <c r="CS21" s="106"/>
      <c r="CT21" s="106"/>
      <c r="CU21" s="106"/>
      <c r="CV21" s="106"/>
      <c r="CW21" s="106"/>
      <c r="CX21" s="106"/>
    </row>
    <row r="22" spans="1:102" s="102" customFormat="1" ht="15" x14ac:dyDescent="0.25">
      <c r="A22" s="120"/>
      <c r="B22" s="120"/>
      <c r="C22" s="120"/>
      <c r="D22" s="105"/>
      <c r="E22" s="104"/>
      <c r="F22" s="103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6"/>
      <c r="CM22" s="106"/>
      <c r="CN22" s="106"/>
      <c r="CO22" s="106"/>
      <c r="CP22" s="106"/>
      <c r="CQ22" s="106"/>
      <c r="CR22" s="106"/>
      <c r="CS22" s="106"/>
      <c r="CT22" s="106"/>
      <c r="CU22" s="106"/>
      <c r="CV22" s="106"/>
      <c r="CW22" s="106"/>
      <c r="CX22" s="106"/>
    </row>
    <row r="23" spans="1:102" s="102" customFormat="1" ht="15" x14ac:dyDescent="0.25">
      <c r="A23" s="119"/>
      <c r="B23" s="121"/>
      <c r="C23" s="121"/>
      <c r="D23" s="105"/>
      <c r="E23" s="104"/>
      <c r="F23" s="103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  <c r="CF23" s="106"/>
      <c r="CG23" s="106"/>
      <c r="CH23" s="106"/>
      <c r="CI23" s="106"/>
      <c r="CJ23" s="106"/>
      <c r="CK23" s="106"/>
      <c r="CL23" s="106"/>
      <c r="CM23" s="106"/>
      <c r="CN23" s="106"/>
      <c r="CO23" s="106"/>
      <c r="CP23" s="106"/>
      <c r="CQ23" s="106"/>
      <c r="CR23" s="106"/>
      <c r="CS23" s="106"/>
      <c r="CT23" s="106"/>
      <c r="CU23" s="106"/>
      <c r="CV23" s="106"/>
      <c r="CW23" s="106"/>
      <c r="CX23" s="106"/>
    </row>
    <row r="24" spans="1:102" s="102" customFormat="1" ht="15" x14ac:dyDescent="0.25">
      <c r="A24" s="119"/>
      <c r="B24" s="121"/>
      <c r="C24" s="121"/>
      <c r="D24" s="105"/>
      <c r="E24" s="104"/>
      <c r="F24" s="103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  <c r="CF24" s="106"/>
      <c r="CG24" s="106"/>
      <c r="CH24" s="106"/>
      <c r="CI24" s="106"/>
      <c r="CJ24" s="106"/>
      <c r="CK24" s="106"/>
      <c r="CL24" s="106"/>
      <c r="CM24" s="106"/>
      <c r="CN24" s="106"/>
      <c r="CO24" s="106"/>
      <c r="CP24" s="106"/>
      <c r="CQ24" s="106"/>
      <c r="CR24" s="106"/>
      <c r="CS24" s="106"/>
      <c r="CT24" s="106"/>
      <c r="CU24" s="106"/>
      <c r="CV24" s="106"/>
      <c r="CW24" s="106"/>
      <c r="CX24" s="106"/>
    </row>
    <row r="25" spans="1:102" s="102" customFormat="1" ht="15" x14ac:dyDescent="0.25">
      <c r="A25" s="119"/>
      <c r="B25" s="121"/>
      <c r="C25" s="121"/>
      <c r="D25" s="105"/>
      <c r="E25" s="104"/>
      <c r="F25" s="103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6"/>
      <c r="CM25" s="106"/>
      <c r="CN25" s="106"/>
      <c r="CO25" s="106"/>
      <c r="CP25" s="106"/>
      <c r="CQ25" s="106"/>
      <c r="CR25" s="106"/>
      <c r="CS25" s="106"/>
      <c r="CT25" s="106"/>
      <c r="CU25" s="106"/>
      <c r="CV25" s="106"/>
      <c r="CW25" s="106"/>
      <c r="CX25" s="106"/>
    </row>
    <row r="26" spans="1:102" s="102" customFormat="1" ht="15" x14ac:dyDescent="0.25">
      <c r="A26" s="120"/>
      <c r="B26" s="118"/>
      <c r="C26" s="118"/>
      <c r="D26" s="105"/>
      <c r="E26" s="104"/>
      <c r="F26" s="103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  <c r="CL26" s="106"/>
      <c r="CM26" s="106"/>
      <c r="CN26" s="106"/>
      <c r="CO26" s="106"/>
      <c r="CP26" s="106"/>
      <c r="CQ26" s="106"/>
      <c r="CR26" s="106"/>
      <c r="CS26" s="106"/>
      <c r="CT26" s="106"/>
      <c r="CU26" s="106"/>
      <c r="CV26" s="106"/>
      <c r="CW26" s="106"/>
      <c r="CX26" s="106"/>
    </row>
    <row r="27" spans="1:102" s="38" customFormat="1" ht="54.75" customHeight="1" x14ac:dyDescent="0.25">
      <c r="A27" s="136" t="s">
        <v>34</v>
      </c>
      <c r="B27" s="137"/>
      <c r="C27" s="137"/>
      <c r="D27" s="138"/>
      <c r="E27" s="101">
        <f>SUM(E3:E26)</f>
        <v>162</v>
      </c>
      <c r="F27" s="107"/>
    </row>
    <row r="28" spans="1:102" s="38" customFormat="1" ht="54.75" customHeight="1" x14ac:dyDescent="0.25">
      <c r="A28" s="116"/>
      <c r="B28" s="113"/>
      <c r="C28" s="39"/>
      <c r="D28" s="39"/>
      <c r="E28" s="39"/>
      <c r="F28" s="39"/>
    </row>
    <row r="29" spans="1:102" s="40" customFormat="1" ht="54.75" customHeight="1" x14ac:dyDescent="0.25">
      <c r="A29" s="116"/>
      <c r="B29" s="113"/>
      <c r="C29" s="39"/>
      <c r="D29" s="39"/>
      <c r="E29" s="39"/>
      <c r="F29" s="39"/>
    </row>
    <row r="30" spans="1:102" s="41" customFormat="1" ht="13.2" x14ac:dyDescent="0.25">
      <c r="A30" s="116"/>
      <c r="B30" s="113"/>
      <c r="C30" s="43"/>
      <c r="D30" s="39"/>
      <c r="E30" s="39"/>
      <c r="F30" s="39"/>
    </row>
    <row r="31" spans="1:102" s="41" customFormat="1" ht="13.2" x14ac:dyDescent="0.25">
      <c r="A31" s="116"/>
      <c r="B31" s="113"/>
      <c r="C31" s="39"/>
      <c r="D31" s="39"/>
      <c r="E31" s="39"/>
      <c r="F31" s="39"/>
    </row>
    <row r="32" spans="1:102" s="41" customFormat="1" ht="13.2" x14ac:dyDescent="0.25">
      <c r="A32" s="116"/>
      <c r="B32" s="113"/>
      <c r="C32" s="39"/>
      <c r="D32" s="39"/>
      <c r="E32" s="39"/>
      <c r="F32" s="39"/>
    </row>
    <row r="33" spans="1:6" s="41" customFormat="1" ht="13.2" x14ac:dyDescent="0.25">
      <c r="A33" s="116"/>
      <c r="B33" s="113"/>
      <c r="C33" s="39"/>
      <c r="D33" s="39"/>
      <c r="E33" s="39"/>
      <c r="F33" s="39"/>
    </row>
    <row r="34" spans="1:6" s="41" customFormat="1" ht="13.2" x14ac:dyDescent="0.25">
      <c r="A34" s="116"/>
      <c r="B34" s="113"/>
      <c r="C34" s="39"/>
      <c r="D34" s="39"/>
      <c r="E34" s="39"/>
      <c r="F34" s="39">
        <f>20*15%</f>
        <v>3</v>
      </c>
    </row>
    <row r="35" spans="1:6" s="41" customFormat="1" ht="13.2" x14ac:dyDescent="0.25">
      <c r="A35" s="116"/>
      <c r="B35" s="113"/>
      <c r="C35" s="39"/>
      <c r="D35" s="39"/>
      <c r="E35" s="39"/>
      <c r="F35" s="39"/>
    </row>
    <row r="36" spans="1:6" ht="30.75" customHeight="1" x14ac:dyDescent="0.25">
      <c r="A36" s="116"/>
      <c r="B36" s="113"/>
      <c r="C36" s="39"/>
      <c r="D36" s="39"/>
      <c r="E36" s="39"/>
      <c r="F36" s="39"/>
    </row>
    <row r="37" spans="1:6" ht="13.2" x14ac:dyDescent="0.25">
      <c r="A37" s="116"/>
      <c r="B37" s="113"/>
      <c r="C37" s="39"/>
      <c r="D37" s="39"/>
      <c r="E37" s="39"/>
      <c r="F37" s="39"/>
    </row>
    <row r="38" spans="1:6" ht="13.2" x14ac:dyDescent="0.25">
      <c r="A38" s="116"/>
      <c r="B38" s="113"/>
      <c r="C38" s="39"/>
      <c r="D38" s="39"/>
      <c r="E38" s="39"/>
      <c r="F38" s="39"/>
    </row>
    <row r="39" spans="1:6" ht="13.2" x14ac:dyDescent="0.25">
      <c r="A39" s="116"/>
      <c r="B39" s="113"/>
      <c r="C39" s="39"/>
      <c r="D39" s="39"/>
      <c r="E39" s="39"/>
      <c r="F39" s="39"/>
    </row>
    <row r="40" spans="1:6" ht="13.2" x14ac:dyDescent="0.25">
      <c r="A40" s="116"/>
      <c r="B40" s="113"/>
      <c r="C40" s="39"/>
      <c r="D40" s="39"/>
      <c r="E40" s="39"/>
      <c r="F40" s="39"/>
    </row>
    <row r="41" spans="1:6" s="37" customFormat="1" ht="25.5" customHeight="1" x14ac:dyDescent="0.25">
      <c r="A41" s="116"/>
      <c r="B41" s="113"/>
      <c r="C41" s="39"/>
      <c r="D41" s="39"/>
      <c r="E41" s="39"/>
      <c r="F41" s="39"/>
    </row>
    <row r="42" spans="1:6" s="37" customFormat="1" ht="13.2" x14ac:dyDescent="0.25">
      <c r="A42" s="116"/>
      <c r="B42" s="113"/>
      <c r="C42" s="39"/>
      <c r="D42" s="39"/>
      <c r="E42" s="39"/>
      <c r="F42" s="39"/>
    </row>
    <row r="43" spans="1:6" s="37" customFormat="1" ht="28.5" customHeight="1" x14ac:dyDescent="0.25">
      <c r="A43" s="116"/>
      <c r="B43" s="113"/>
      <c r="C43" s="39"/>
      <c r="D43" s="39"/>
      <c r="E43" s="39"/>
      <c r="F43" s="39"/>
    </row>
    <row r="44" spans="1:6" ht="38.25" customHeight="1" x14ac:dyDescent="0.25">
      <c r="A44" s="116"/>
      <c r="B44" s="113"/>
      <c r="C44" s="39"/>
      <c r="D44" s="39"/>
      <c r="E44" s="39"/>
      <c r="F44" s="39"/>
    </row>
    <row r="45" spans="1:6" ht="15.75" customHeight="1" x14ac:dyDescent="0.25">
      <c r="A45" s="116"/>
      <c r="B45" s="113"/>
      <c r="C45" s="39"/>
      <c r="D45" s="39"/>
      <c r="E45" s="39"/>
      <c r="F45" s="39"/>
    </row>
    <row r="46" spans="1:6" ht="38.25" customHeight="1" x14ac:dyDescent="0.25">
      <c r="A46" s="116"/>
      <c r="B46" s="113"/>
      <c r="C46" s="39"/>
      <c r="D46" s="39"/>
      <c r="E46" s="39"/>
      <c r="F46" s="39"/>
    </row>
    <row r="47" spans="1:6" ht="13.2" x14ac:dyDescent="0.25">
      <c r="A47" s="116"/>
      <c r="B47" s="113"/>
      <c r="C47" s="39"/>
      <c r="D47" s="39"/>
      <c r="E47" s="39"/>
      <c r="F47" s="39"/>
    </row>
    <row r="48" spans="1:6" ht="13.2" x14ac:dyDescent="0.25">
      <c r="A48" s="116"/>
      <c r="B48" s="113"/>
      <c r="C48" s="39"/>
      <c r="D48" s="39"/>
      <c r="E48" s="39"/>
      <c r="F48" s="39"/>
    </row>
    <row r="49" spans="1:6" ht="13.2" x14ac:dyDescent="0.25">
      <c r="A49" s="116"/>
      <c r="B49" s="113"/>
      <c r="C49" s="39"/>
      <c r="D49" s="39"/>
      <c r="E49" s="39"/>
      <c r="F49" s="39"/>
    </row>
    <row r="50" spans="1:6" ht="15.75" customHeight="1" x14ac:dyDescent="0.25">
      <c r="A50" s="116"/>
      <c r="B50" s="113"/>
      <c r="C50" s="39"/>
      <c r="D50" s="39"/>
      <c r="E50" s="39"/>
      <c r="F50" s="39"/>
    </row>
    <row r="51" spans="1:6" ht="51.75" customHeight="1" x14ac:dyDescent="0.25">
      <c r="A51" s="116"/>
      <c r="B51" s="113"/>
      <c r="C51" s="39"/>
      <c r="D51" s="39"/>
      <c r="E51" s="39"/>
      <c r="F51" s="39"/>
    </row>
    <row r="52" spans="1:6" ht="15.75" customHeight="1" x14ac:dyDescent="0.25">
      <c r="A52" s="116"/>
      <c r="B52" s="113"/>
      <c r="C52" s="39"/>
      <c r="D52" s="39"/>
      <c r="E52" s="39"/>
      <c r="F52" s="39"/>
    </row>
    <row r="53" spans="1:6" ht="15.75" customHeight="1" x14ac:dyDescent="0.25">
      <c r="A53" s="116"/>
      <c r="B53" s="113"/>
      <c r="C53" s="39"/>
      <c r="D53" s="39"/>
      <c r="E53" s="39"/>
      <c r="F53" s="39"/>
    </row>
    <row r="54" spans="1:6" ht="15.75" customHeight="1" x14ac:dyDescent="0.25">
      <c r="A54" s="116"/>
      <c r="B54" s="113"/>
      <c r="C54" s="39"/>
      <c r="D54" s="39"/>
      <c r="E54" s="39"/>
      <c r="F54" s="39"/>
    </row>
    <row r="55" spans="1:6" ht="15.75" customHeight="1" x14ac:dyDescent="0.25">
      <c r="B55"/>
      <c r="C55" s="42"/>
      <c r="F55"/>
    </row>
    <row r="56" spans="1:6" ht="15.75" customHeight="1" x14ac:dyDescent="0.25">
      <c r="F56"/>
    </row>
    <row r="57" spans="1:6" ht="15.75" customHeight="1" x14ac:dyDescent="0.25">
      <c r="F57"/>
    </row>
    <row r="58" spans="1:6" ht="15.75" customHeight="1" x14ac:dyDescent="0.25">
      <c r="F58"/>
    </row>
    <row r="59" spans="1:6" ht="15.75" customHeight="1" x14ac:dyDescent="0.25">
      <c r="F59"/>
    </row>
    <row r="60" spans="1:6" ht="15.75" customHeight="1" x14ac:dyDescent="0.25">
      <c r="F60"/>
    </row>
    <row r="61" spans="1:6" ht="15.75" customHeight="1" x14ac:dyDescent="0.25">
      <c r="F61"/>
    </row>
    <row r="62" spans="1:6" ht="15.75" customHeight="1" x14ac:dyDescent="0.25">
      <c r="B62"/>
      <c r="F62"/>
    </row>
    <row r="63" spans="1:6" ht="15.75" customHeight="1" x14ac:dyDescent="0.25">
      <c r="B63"/>
      <c r="F63" s="108"/>
    </row>
    <row r="64" spans="1:6" ht="15.75" customHeight="1" x14ac:dyDescent="0.25">
      <c r="F64"/>
    </row>
    <row r="65" spans="6:6" ht="15.75" customHeight="1" x14ac:dyDescent="0.25">
      <c r="F65"/>
    </row>
    <row r="66" spans="6:6" ht="15.75" customHeight="1" x14ac:dyDescent="0.25">
      <c r="F66"/>
    </row>
    <row r="67" spans="6:6" ht="15.75" customHeight="1" x14ac:dyDescent="0.25">
      <c r="F67"/>
    </row>
  </sheetData>
  <mergeCells count="15">
    <mergeCell ref="A1:F1"/>
    <mergeCell ref="A27:D27"/>
    <mergeCell ref="C3:C6"/>
    <mergeCell ref="B3:B6"/>
    <mergeCell ref="A3:A6"/>
    <mergeCell ref="C7:C9"/>
    <mergeCell ref="B7:B9"/>
    <mergeCell ref="A7:A9"/>
    <mergeCell ref="C11:C15"/>
    <mergeCell ref="B11:B15"/>
    <mergeCell ref="A11:A15"/>
    <mergeCell ref="C17:C20"/>
    <mergeCell ref="B17:B20"/>
    <mergeCell ref="A17:A20"/>
    <mergeCell ref="F17:F20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Commercial (Met meerwerk)</vt:lpstr>
      <vt:lpstr>Estimate</vt:lpstr>
      <vt:lpstr>CostOf Wok</vt:lpstr>
      <vt:lpstr>FunctionalitiesBreakdown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Le</dc:creator>
  <cp:lastModifiedBy>Thinkpad W550s</cp:lastModifiedBy>
  <dcterms:created xsi:type="dcterms:W3CDTF">2019-05-10T05:02:08Z</dcterms:created>
  <dcterms:modified xsi:type="dcterms:W3CDTF">2026-03-16T08:07:42Z</dcterms:modified>
</cp:coreProperties>
</file>