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(Met meerwerk)" sheetId="1" state="visible" r:id="rId1"/>
    <sheet name="Estimate" sheetId="2" state="visible" r:id="rId2"/>
    <sheet name="CostOf 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sz val="14"/>
    </font>
    <font>
      <b val="1"/>
      <sz val="12"/>
    </font>
    <font>
      <sz val="12"/>
    </font>
  </fonts>
  <fills count="4">
    <fill>
      <patternFill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1" customWidth="1" min="3" max="3"/>
    <col width="12" customWidth="1" min="4" max="4"/>
    <col width="11" customWidth="1" min="5" max="5"/>
    <col width="11" customWidth="1" min="6" max="6"/>
  </cols>
  <sheetData>
    <row r="2">
      <c r="B2" s="1" t="inlineStr">
        <is>
          <t>COMMERCIAL PRESENTATION</t>
        </is>
      </c>
    </row>
    <row r="4">
      <c r="B4" s="2" t="inlineStr">
        <is>
          <t>Description</t>
        </is>
      </c>
      <c r="C4" s="2" t="inlineStr">
        <is>
          <t>Hrs</t>
        </is>
      </c>
      <c r="D4" s="2" t="inlineStr">
        <is>
          <t>Split</t>
        </is>
      </c>
      <c r="E4" s="2" t="inlineStr">
        <is>
          <t>Rate</t>
        </is>
      </c>
      <c r="F4" s="2" t="inlineStr">
        <is>
          <t>Amount</t>
        </is>
      </c>
    </row>
    <row r="5">
      <c r="B5" s="2" t="inlineStr">
        <is>
          <t>Technical Analysis &amp; Discovery</t>
        </is>
      </c>
    </row>
    <row r="6">
      <c r="B6" s="3" t="inlineStr">
        <is>
          <t>Environment Setup</t>
        </is>
      </c>
      <c r="C6" s="3" t="n">
        <v>4</v>
      </c>
      <c r="D6" s="3">
        <f>C6/C11</f>
        <v/>
      </c>
      <c r="E6" s="3" t="n">
        <v>27.5</v>
      </c>
      <c r="F6" s="3">
        <f>C6*E6</f>
        <v/>
      </c>
    </row>
    <row r="7">
      <c r="B7" s="3" t="inlineStr">
        <is>
          <t>Code &amp; Architecture Review</t>
        </is>
      </c>
      <c r="C7" s="3" t="n">
        <v>7</v>
      </c>
      <c r="D7" s="3">
        <f>C7/C11</f>
        <v/>
      </c>
      <c r="E7" s="3" t="n">
        <v>27.5</v>
      </c>
      <c r="F7" s="3">
        <f>C7*E7</f>
        <v/>
      </c>
    </row>
    <row r="8">
      <c r="B8" s="3" t="inlineStr">
        <is>
          <t>Feature Strategy Evaluation</t>
        </is>
      </c>
      <c r="C8" s="3" t="n">
        <v>5</v>
      </c>
      <c r="D8" s="3">
        <f>C8/C11</f>
        <v/>
      </c>
      <c r="E8" s="3" t="n">
        <v>27.5</v>
      </c>
      <c r="F8" s="3">
        <f>C8*E8</f>
        <v/>
      </c>
    </row>
    <row r="9">
      <c r="B9" s="3" t="inlineStr">
        <is>
          <t>Risk Assessment &amp; Mitigation</t>
        </is>
      </c>
      <c r="C9" s="3" t="n">
        <v>2.5</v>
      </c>
      <c r="D9" s="3">
        <f>C9/C11</f>
        <v/>
      </c>
      <c r="E9" s="3" t="n">
        <v>27.5</v>
      </c>
      <c r="F9" s="3">
        <f>C9*E9</f>
        <v/>
      </c>
    </row>
    <row r="10">
      <c r="B10" s="3" t="inlineStr">
        <is>
          <t>Reporting</t>
        </is>
      </c>
      <c r="C10" s="3" t="n">
        <v>1.5</v>
      </c>
      <c r="D10" s="3">
        <f>C10/C11</f>
        <v/>
      </c>
      <c r="E10" s="3" t="n">
        <v>27.5</v>
      </c>
      <c r="F10" s="3">
        <f>C10*E10</f>
        <v/>
      </c>
    </row>
    <row r="11">
      <c r="B11" s="2" t="inlineStr">
        <is>
          <t>Total Technical Analysis</t>
        </is>
      </c>
      <c r="C11" s="2">
        <f>SUM(C6:C10)</f>
        <v/>
      </c>
      <c r="E11" s="2">
        <f>F11/C11</f>
        <v/>
      </c>
      <c r="F11" s="2">
        <f>SUM(F6:F10)</f>
        <v/>
      </c>
    </row>
    <row r="13">
      <c r="B13" s="3" t="inlineStr">
        <is>
          <t>Project Time Material Budget</t>
        </is>
      </c>
      <c r="C13" s="3">
        <f>C11</f>
        <v/>
      </c>
      <c r="F13" s="3">
        <f>F11</f>
        <v/>
      </c>
    </row>
    <row r="14">
      <c r="B14" s="3" t="inlineStr">
        <is>
          <t>Fixed Pricing Risk</t>
        </is>
      </c>
      <c r="D14" s="3" t="n">
        <v>0</v>
      </c>
      <c r="F14" s="3">
        <f>D14*F13</f>
        <v/>
      </c>
    </row>
    <row r="15">
      <c r="B15" s="2" t="inlineStr">
        <is>
          <t>Project Fixed Price Budget</t>
        </is>
      </c>
      <c r="C15" s="2">
        <f>C13+C14</f>
        <v/>
      </c>
      <c r="E15" s="2">
        <f>F15/C15</f>
        <v/>
      </c>
      <c r="F15" s="2">
        <f>F13+F14</f>
        <v/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2" t="inlineStr">
        <is>
          <t>ESTIMATION SHEET</t>
        </is>
      </c>
    </row>
    <row r="2">
      <c r="A2" s="4" t="inlineStr">
        <is>
          <t>Project:</t>
        </is>
      </c>
      <c r="B2" s="2" t="inlineStr">
        <is>
          <t>TT-AIM-SPRINT-8C (20h Technical Analysis)</t>
        </is>
      </c>
    </row>
    <row r="3">
      <c r="A3" s="4" t="inlineStr">
        <is>
          <t>Updated date:</t>
        </is>
      </c>
      <c r="B3" s="5" t="inlineStr">
        <is>
          <t>17/3/2026</t>
        </is>
      </c>
    </row>
    <row r="4">
      <c r="A4" s="4" t="inlineStr">
        <is>
          <t>Updated by:</t>
        </is>
      </c>
    </row>
    <row r="6">
      <c r="A6" s="2" t="inlineStr">
        <is>
          <t>SUMMARY</t>
        </is>
      </c>
    </row>
    <row r="8">
      <c r="A8" s="4" t="inlineStr">
        <is>
          <t>Total analysis effort</t>
        </is>
      </c>
      <c r="B8" s="2" t="n">
        <v>20</v>
      </c>
    </row>
    <row r="9">
      <c r="A9" s="4" t="inlineStr">
        <is>
          <t>Duration</t>
        </is>
      </c>
      <c r="B9" s="3" t="inlineStr">
        <is>
          <t>1 week</t>
        </is>
      </c>
    </row>
    <row r="11">
      <c r="A11" s="2" t="inlineStr">
        <is>
          <t>PROJECT PHASES</t>
        </is>
      </c>
    </row>
    <row r="12">
      <c r="A12" s="2" t="inlineStr">
        <is>
          <t>Phase</t>
        </is>
      </c>
      <c r="B12" s="2" t="inlineStr">
        <is>
          <t>Hours</t>
        </is>
      </c>
    </row>
    <row r="13">
      <c r="A13" s="4" t="inlineStr">
        <is>
          <t>1. Environment Setup</t>
        </is>
      </c>
      <c r="B13" s="3" t="n">
        <v>4</v>
      </c>
    </row>
    <row r="14">
      <c r="A14" s="4" t="inlineStr">
        <is>
          <t>2. Code &amp; Architecture Review</t>
        </is>
      </c>
      <c r="B14" s="3" t="n">
        <v>7</v>
      </c>
    </row>
    <row r="15">
      <c r="A15" s="4" t="inlineStr">
        <is>
          <t>3. Feature Strategy Evaluation</t>
        </is>
      </c>
      <c r="B15" s="3" t="n">
        <v>5</v>
      </c>
    </row>
    <row r="16">
      <c r="A16" s="4" t="inlineStr">
        <is>
          <t>4. Risk Assessment &amp; Mitigation</t>
        </is>
      </c>
      <c r="B16" s="3" t="n">
        <v>2.5</v>
      </c>
    </row>
    <row r="17">
      <c r="A17" s="4" t="inlineStr">
        <is>
          <t>5. Reporting</t>
        </is>
      </c>
      <c r="B17" s="3" t="n">
        <v>1.5</v>
      </c>
    </row>
    <row r="18">
      <c r="A18" s="2" t="inlineStr">
        <is>
          <t>TOTAL</t>
        </is>
      </c>
      <c r="B18" s="2">
        <f>SUM(B13:B17)</f>
        <v/>
      </c>
    </row>
    <row r="20">
      <c r="A20" s="2" t="inlineStr">
        <is>
          <t>TECHNOLOGY STACK</t>
        </is>
      </c>
    </row>
    <row r="21">
      <c r="A21" s="4" t="inlineStr">
        <is>
          <t>Frontend</t>
        </is>
      </c>
      <c r="B21" s="3" t="inlineStr">
        <is>
          <t>React JS</t>
        </is>
      </c>
    </row>
    <row r="22">
      <c r="A22" s="4" t="inlineStr">
        <is>
          <t>Backend</t>
        </is>
      </c>
      <c r="B22" s="3" t="inlineStr">
        <is>
          <t>PHP (Slim API framework)</t>
        </is>
      </c>
    </row>
    <row r="23">
      <c r="A23" s="4" t="inlineStr">
        <is>
          <t>Data/Analytics</t>
        </is>
      </c>
      <c r="B23" s="3" t="inlineStr">
        <is>
          <t>Python (LPB application)</t>
        </is>
      </c>
    </row>
    <row r="24">
      <c r="A24" s="4" t="inlineStr">
        <is>
          <t>Payments</t>
        </is>
      </c>
      <c r="B24" s="3" t="inlineStr">
        <is>
          <t>Stripe integration</t>
        </is>
      </c>
    </row>
    <row r="25">
      <c r="A25" s="4" t="inlineStr">
        <is>
          <t>Infrastructure</t>
        </is>
      </c>
      <c r="B25" s="3" t="inlineStr">
        <is>
          <t>Staging + Production environments</t>
        </is>
      </c>
    </row>
    <row r="28">
      <c r="A28" s="2" t="inlineStr">
        <is>
          <t>ASSUMPTIONS</t>
        </is>
      </c>
    </row>
    <row r="29">
      <c r="A29" s="3" t="inlineStr">
        <is>
          <t>Source code access (Git), database snapshot, and staging environment are provided</t>
        </is>
      </c>
    </row>
    <row r="30">
      <c r="A30" s="3" t="inlineStr">
        <is>
          <t>Original estimate and ticket descriptions are accurate and current</t>
        </is>
      </c>
    </row>
    <row r="31">
      <c r="A31" s="3" t="inlineStr">
        <is>
          <t>The 20h analysis covers discovery only — implementation is scoped separately at 162h+</t>
        </is>
      </c>
    </row>
    <row r="33">
      <c r="A33" s="2" t="inlineStr">
        <is>
          <t>DELIVERABLES</t>
        </is>
      </c>
    </row>
    <row r="34">
      <c r="A34" s="3" t="inlineStr">
        <is>
          <t>1. Working local development environment</t>
        </is>
      </c>
    </row>
    <row r="35">
      <c r="A35" s="3" t="inlineStr">
        <is>
          <t>2. Architecture overview (codebase, database, infrastructure, integrations)</t>
        </is>
      </c>
    </row>
    <row r="36">
      <c r="A36" s="3" t="inlineStr">
        <is>
          <t>3. Per-ticket implementation strategy recommendation</t>
        </is>
      </c>
    </row>
    <row r="37">
      <c r="A37" s="3" t="inlineStr">
        <is>
          <t>4. Risk register with mitigation strategies</t>
        </is>
      </c>
    </row>
    <row r="38">
      <c r="A38" s="3" t="inlineStr">
        <is>
          <t>5. Prioritized implementation roadmap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0" customWidth="1" min="4" max="4"/>
    <col width="14" customWidth="1" min="5" max="5"/>
  </cols>
  <sheetData>
    <row r="1">
      <c r="A1" s="2" t="inlineStr">
        <is>
          <t>No</t>
        </is>
      </c>
      <c r="B1" s="2" t="inlineStr">
        <is>
          <t>Title</t>
        </is>
      </c>
      <c r="C1" s="2" t="inlineStr">
        <is>
          <t>Total hours</t>
        </is>
      </c>
      <c r="D1" s="2" t="inlineStr">
        <is>
          <t>Rate</t>
        </is>
      </c>
      <c r="E1" s="2" t="inlineStr">
        <is>
          <t>Total</t>
        </is>
      </c>
    </row>
    <row r="2">
      <c r="A2" s="3" t="n">
        <v>1</v>
      </c>
      <c r="B2" s="3" t="inlineStr">
        <is>
          <t>Technical Analysis (Senior Developer)</t>
        </is>
      </c>
      <c r="C2" s="3" t="n">
        <v>20</v>
      </c>
      <c r="D2" s="3" t="n">
        <v>22</v>
      </c>
      <c r="E2" s="3">
        <f>C2*D2</f>
        <v/>
      </c>
    </row>
    <row r="4">
      <c r="B4" s="2" t="inlineStr">
        <is>
          <t>Total</t>
        </is>
      </c>
      <c r="C4" s="2">
        <f>SUM(C2:C3)</f>
        <v/>
      </c>
      <c r="E4" s="2">
        <f>SUM(E2:E3)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2026-03-17T04:52:46Z</dcterms:created>
  <dcterms:modified xsi:type="dcterms:W3CDTF">2026-03-17T04:56:15Z</dcterms:modified>
</cp:coreProperties>
</file>